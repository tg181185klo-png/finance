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CHEMI\web\"/>
    </mc:Choice>
  </mc:AlternateContent>
  <xr:revisionPtr revIDLastSave="0" documentId="13_ncr:1_{A63E2E2E-780C-49A2-A1DE-AF676BAE2C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თვითღირებულება" sheetId="1" r:id="rId1"/>
    <sheet name="პროდუქტების დასათვლელი" sheetId="2" state="hidden" r:id="rId2"/>
    <sheet name="დისტრიბუცია" sheetId="3" state="hidden" r:id="rId3"/>
    <sheet name="მაღაზია" sheetId="4" state="hidden" r:id="rId4"/>
    <sheet name="კალკულატორი ახალი" sheetId="5" state="hidden" r:id="rId5"/>
  </sheets>
  <externalReferences>
    <externalReference r:id="rId6"/>
  </externalReferences>
  <definedNames>
    <definedName name="_xlnm._FilterDatabase" localSheetId="2" hidden="1">დისტრიბუცია!$A$1:$N$107</definedName>
    <definedName name="_xlnm._FilterDatabase" localSheetId="0" hidden="1">თვითღირებულება!$A$1:$AC$101</definedName>
    <definedName name="_xlnm._FilterDatabase" localSheetId="3" hidden="1">მაღაზია!$A$1:$F$107</definedName>
    <definedName name="_xlnm._FilterDatabase" localSheetId="1" hidden="1">'პროდუქტების დასათვლელი'!$A$1:$X$103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" i="5" l="1"/>
  <c r="V2" i="5" s="1"/>
  <c r="M44" i="1"/>
  <c r="I47" i="1"/>
  <c r="E2" i="5"/>
  <c r="G2" i="5" s="1"/>
  <c r="C2" i="5"/>
  <c r="L2" i="5" s="1"/>
  <c r="N2" i="5" s="1"/>
  <c r="B2" i="5"/>
  <c r="W2" i="5" l="1"/>
  <c r="P2" i="5"/>
  <c r="Q2" i="5" s="1"/>
  <c r="C70" i="4"/>
  <c r="C65" i="4"/>
  <c r="C55" i="4"/>
  <c r="C43" i="4"/>
  <c r="C41" i="4"/>
  <c r="C40" i="4"/>
  <c r="C24" i="4"/>
  <c r="F24" i="4" s="1"/>
  <c r="C23" i="4"/>
  <c r="C20" i="4"/>
  <c r="C17" i="4"/>
  <c r="C16" i="4"/>
  <c r="C7" i="4"/>
  <c r="F7" i="4" s="1"/>
  <c r="C6" i="4"/>
  <c r="C5" i="4"/>
  <c r="E107" i="4"/>
  <c r="F107" i="4" s="1"/>
  <c r="E106" i="4"/>
  <c r="F106" i="4" s="1"/>
  <c r="E105" i="4"/>
  <c r="F105" i="4" s="1"/>
  <c r="E104" i="4"/>
  <c r="F104" i="4" s="1"/>
  <c r="E103" i="4"/>
  <c r="F103" i="4" s="1"/>
  <c r="E102" i="4"/>
  <c r="F102" i="4" s="1"/>
  <c r="E101" i="4"/>
  <c r="F101" i="4" s="1"/>
  <c r="E100" i="4"/>
  <c r="F100" i="4" s="1"/>
  <c r="E99" i="4"/>
  <c r="F99" i="4" s="1"/>
  <c r="E98" i="4"/>
  <c r="F98" i="4" s="1"/>
  <c r="E97" i="4"/>
  <c r="F97" i="4" s="1"/>
  <c r="E96" i="4"/>
  <c r="F96" i="4" s="1"/>
  <c r="E95" i="4"/>
  <c r="F95" i="4" s="1"/>
  <c r="E94" i="4"/>
  <c r="F94" i="4" s="1"/>
  <c r="E93" i="4"/>
  <c r="F93" i="4" s="1"/>
  <c r="E92" i="4"/>
  <c r="F92" i="4" s="1"/>
  <c r="E91" i="4"/>
  <c r="F91" i="4" s="1"/>
  <c r="E90" i="4"/>
  <c r="F90" i="4" s="1"/>
  <c r="E89" i="4"/>
  <c r="F89" i="4" s="1"/>
  <c r="E88" i="4"/>
  <c r="F88" i="4" s="1"/>
  <c r="E87" i="4"/>
  <c r="F87" i="4" s="1"/>
  <c r="E86" i="4"/>
  <c r="F86" i="4" s="1"/>
  <c r="E85" i="4"/>
  <c r="F85" i="4" s="1"/>
  <c r="E84" i="4"/>
  <c r="F84" i="4" s="1"/>
  <c r="E83" i="4"/>
  <c r="F83" i="4" s="1"/>
  <c r="E82" i="4"/>
  <c r="F82" i="4" s="1"/>
  <c r="E81" i="4"/>
  <c r="F81" i="4" s="1"/>
  <c r="E80" i="4"/>
  <c r="F80" i="4" s="1"/>
  <c r="E79" i="4"/>
  <c r="F79" i="4" s="1"/>
  <c r="E78" i="4"/>
  <c r="F78" i="4" s="1"/>
  <c r="E77" i="4"/>
  <c r="F77" i="4" s="1"/>
  <c r="E76" i="4"/>
  <c r="F76" i="4" s="1"/>
  <c r="E75" i="4"/>
  <c r="F75" i="4" s="1"/>
  <c r="E74" i="4"/>
  <c r="F74" i="4" s="1"/>
  <c r="E73" i="4"/>
  <c r="F73" i="4" s="1"/>
  <c r="E72" i="4"/>
  <c r="F72" i="4" s="1"/>
  <c r="E71" i="4"/>
  <c r="F71" i="4" s="1"/>
  <c r="E70" i="4"/>
  <c r="E69" i="4"/>
  <c r="F69" i="4" s="1"/>
  <c r="E68" i="4"/>
  <c r="F68" i="4" s="1"/>
  <c r="E67" i="4"/>
  <c r="F67" i="4" s="1"/>
  <c r="E66" i="4"/>
  <c r="F66" i="4" s="1"/>
  <c r="E65" i="4"/>
  <c r="E64" i="4"/>
  <c r="F64" i="4" s="1"/>
  <c r="E63" i="4"/>
  <c r="F63" i="4" s="1"/>
  <c r="E62" i="4"/>
  <c r="F62" i="4" s="1"/>
  <c r="E61" i="4"/>
  <c r="F61" i="4" s="1"/>
  <c r="E60" i="4"/>
  <c r="F60" i="4" s="1"/>
  <c r="E59" i="4"/>
  <c r="F59" i="4" s="1"/>
  <c r="E58" i="4"/>
  <c r="F58" i="4" s="1"/>
  <c r="E57" i="4"/>
  <c r="F57" i="4" s="1"/>
  <c r="E56" i="4"/>
  <c r="F56" i="4" s="1"/>
  <c r="E55" i="4"/>
  <c r="E54" i="4"/>
  <c r="F54" i="4" s="1"/>
  <c r="E53" i="4"/>
  <c r="F53" i="4" s="1"/>
  <c r="E52" i="4"/>
  <c r="F52" i="4" s="1"/>
  <c r="E51" i="4"/>
  <c r="F51" i="4" s="1"/>
  <c r="E50" i="4"/>
  <c r="F50" i="4" s="1"/>
  <c r="E49" i="4"/>
  <c r="F49" i="4" s="1"/>
  <c r="E48" i="4"/>
  <c r="F48" i="4" s="1"/>
  <c r="E47" i="4"/>
  <c r="F47" i="4" s="1"/>
  <c r="E46" i="4"/>
  <c r="F46" i="4" s="1"/>
  <c r="E45" i="4"/>
  <c r="F45" i="4" s="1"/>
  <c r="E44" i="4"/>
  <c r="F44" i="4" s="1"/>
  <c r="E43" i="4"/>
  <c r="E42" i="4"/>
  <c r="F42" i="4" s="1"/>
  <c r="E41" i="4"/>
  <c r="E40" i="4"/>
  <c r="E39" i="4"/>
  <c r="F39" i="4" s="1"/>
  <c r="E38" i="4"/>
  <c r="F38" i="4" s="1"/>
  <c r="E37" i="4"/>
  <c r="F37" i="4" s="1"/>
  <c r="E36" i="4"/>
  <c r="F36" i="4" s="1"/>
  <c r="E35" i="4"/>
  <c r="F35" i="4" s="1"/>
  <c r="E34" i="4"/>
  <c r="F34" i="4" s="1"/>
  <c r="E33" i="4"/>
  <c r="F33" i="4" s="1"/>
  <c r="E32" i="4"/>
  <c r="F32" i="4" s="1"/>
  <c r="E31" i="4"/>
  <c r="F31" i="4" s="1"/>
  <c r="E30" i="4"/>
  <c r="F30" i="4" s="1"/>
  <c r="E29" i="4"/>
  <c r="F29" i="4" s="1"/>
  <c r="E28" i="4"/>
  <c r="F28" i="4" s="1"/>
  <c r="E27" i="4"/>
  <c r="F27" i="4" s="1"/>
  <c r="E26" i="4"/>
  <c r="F26" i="4" s="1"/>
  <c r="E25" i="4"/>
  <c r="F25" i="4" s="1"/>
  <c r="E23" i="4"/>
  <c r="E22" i="4"/>
  <c r="F22" i="4" s="1"/>
  <c r="E21" i="4"/>
  <c r="F21" i="4" s="1"/>
  <c r="E20" i="4"/>
  <c r="E19" i="4"/>
  <c r="F19" i="4" s="1"/>
  <c r="E18" i="4"/>
  <c r="F18" i="4" s="1"/>
  <c r="E17" i="4"/>
  <c r="E16" i="4"/>
  <c r="E15" i="4"/>
  <c r="F15" i="4" s="1"/>
  <c r="E14" i="4"/>
  <c r="F14" i="4" s="1"/>
  <c r="E13" i="4"/>
  <c r="F13" i="4" s="1"/>
  <c r="E12" i="4"/>
  <c r="F12" i="4" s="1"/>
  <c r="E11" i="4"/>
  <c r="F11" i="4" s="1"/>
  <c r="E10" i="4"/>
  <c r="F10" i="4" s="1"/>
  <c r="E9" i="4"/>
  <c r="F9" i="4" s="1"/>
  <c r="E8" i="4"/>
  <c r="F8" i="4" s="1"/>
  <c r="E6" i="4"/>
  <c r="E5" i="4"/>
  <c r="E4" i="4"/>
  <c r="F4" i="4" s="1"/>
  <c r="E3" i="4"/>
  <c r="F3" i="4" s="1"/>
  <c r="F2" i="4"/>
  <c r="AA2" i="1"/>
  <c r="F20" i="4" l="1"/>
  <c r="F41" i="4"/>
  <c r="F40" i="4"/>
  <c r="F70" i="4"/>
  <c r="F6" i="4"/>
  <c r="F23" i="4"/>
  <c r="F43" i="4"/>
  <c r="F55" i="4"/>
  <c r="F16" i="4"/>
  <c r="F17" i="4"/>
  <c r="F65" i="4"/>
  <c r="F5" i="4"/>
  <c r="O2" i="1"/>
  <c r="H1" i="4" l="1"/>
  <c r="M3" i="3"/>
  <c r="N3" i="3" s="1"/>
  <c r="M4" i="3"/>
  <c r="N4" i="3" s="1"/>
  <c r="M5" i="3"/>
  <c r="N5" i="3" s="1"/>
  <c r="M6" i="3"/>
  <c r="N6" i="3" s="1"/>
  <c r="M7" i="3"/>
  <c r="N7" i="3" s="1"/>
  <c r="M8" i="3"/>
  <c r="N8" i="3" s="1"/>
  <c r="M9" i="3"/>
  <c r="N9" i="3" s="1"/>
  <c r="M10" i="3"/>
  <c r="N10" i="3" s="1"/>
  <c r="M11" i="3"/>
  <c r="N11" i="3" s="1"/>
  <c r="M12" i="3"/>
  <c r="N12" i="3" s="1"/>
  <c r="M13" i="3"/>
  <c r="N13" i="3" s="1"/>
  <c r="M14" i="3"/>
  <c r="N14" i="3" s="1"/>
  <c r="M15" i="3"/>
  <c r="N15" i="3" s="1"/>
  <c r="M16" i="3"/>
  <c r="N16" i="3" s="1"/>
  <c r="M17" i="3"/>
  <c r="N17" i="3" s="1"/>
  <c r="M18" i="3"/>
  <c r="N18" i="3" s="1"/>
  <c r="M19" i="3"/>
  <c r="N19" i="3" s="1"/>
  <c r="M20" i="3"/>
  <c r="N20" i="3" s="1"/>
  <c r="M21" i="3"/>
  <c r="N21" i="3" s="1"/>
  <c r="M22" i="3"/>
  <c r="N22" i="3" s="1"/>
  <c r="M23" i="3"/>
  <c r="N23" i="3" s="1"/>
  <c r="M24" i="3"/>
  <c r="N24" i="3" s="1"/>
  <c r="M25" i="3"/>
  <c r="N25" i="3" s="1"/>
  <c r="M26" i="3"/>
  <c r="N26" i="3" s="1"/>
  <c r="M27" i="3"/>
  <c r="N27" i="3" s="1"/>
  <c r="M28" i="3"/>
  <c r="N28" i="3" s="1"/>
  <c r="M29" i="3"/>
  <c r="N29" i="3" s="1"/>
  <c r="M30" i="3"/>
  <c r="N30" i="3" s="1"/>
  <c r="M31" i="3"/>
  <c r="N31" i="3" s="1"/>
  <c r="M32" i="3"/>
  <c r="N32" i="3" s="1"/>
  <c r="M33" i="3"/>
  <c r="N33" i="3" s="1"/>
  <c r="M34" i="3"/>
  <c r="N34" i="3" s="1"/>
  <c r="M35" i="3"/>
  <c r="N35" i="3" s="1"/>
  <c r="M36" i="3"/>
  <c r="N36" i="3" s="1"/>
  <c r="M37" i="3"/>
  <c r="N37" i="3" s="1"/>
  <c r="M38" i="3"/>
  <c r="N38" i="3" s="1"/>
  <c r="M39" i="3"/>
  <c r="N39" i="3" s="1"/>
  <c r="M40" i="3"/>
  <c r="N40" i="3" s="1"/>
  <c r="M41" i="3"/>
  <c r="N41" i="3" s="1"/>
  <c r="M42" i="3"/>
  <c r="N42" i="3" s="1"/>
  <c r="M43" i="3"/>
  <c r="N43" i="3" s="1"/>
  <c r="M44" i="3"/>
  <c r="N44" i="3" s="1"/>
  <c r="M45" i="3"/>
  <c r="N45" i="3" s="1"/>
  <c r="M46" i="3"/>
  <c r="N46" i="3" s="1"/>
  <c r="M47" i="3"/>
  <c r="N47" i="3" s="1"/>
  <c r="M48" i="3"/>
  <c r="N48" i="3" s="1"/>
  <c r="M49" i="3"/>
  <c r="N49" i="3" s="1"/>
  <c r="M50" i="3"/>
  <c r="N50" i="3" s="1"/>
  <c r="M51" i="3"/>
  <c r="N51" i="3" s="1"/>
  <c r="M52" i="3"/>
  <c r="N52" i="3" s="1"/>
  <c r="M53" i="3"/>
  <c r="N53" i="3" s="1"/>
  <c r="M54" i="3"/>
  <c r="N54" i="3" s="1"/>
  <c r="M55" i="3"/>
  <c r="N55" i="3" s="1"/>
  <c r="M56" i="3"/>
  <c r="N56" i="3" s="1"/>
  <c r="M57" i="3"/>
  <c r="N57" i="3" s="1"/>
  <c r="M58" i="3"/>
  <c r="N58" i="3" s="1"/>
  <c r="M59" i="3"/>
  <c r="N59" i="3" s="1"/>
  <c r="M60" i="3"/>
  <c r="N60" i="3" s="1"/>
  <c r="M61" i="3"/>
  <c r="N61" i="3" s="1"/>
  <c r="M62" i="3"/>
  <c r="N62" i="3" s="1"/>
  <c r="M63" i="3"/>
  <c r="N63" i="3" s="1"/>
  <c r="M64" i="3"/>
  <c r="N64" i="3" s="1"/>
  <c r="M65" i="3"/>
  <c r="N65" i="3" s="1"/>
  <c r="M66" i="3"/>
  <c r="N66" i="3" s="1"/>
  <c r="M67" i="3"/>
  <c r="N67" i="3" s="1"/>
  <c r="M68" i="3"/>
  <c r="N68" i="3" s="1"/>
  <c r="M69" i="3"/>
  <c r="N69" i="3" s="1"/>
  <c r="M70" i="3"/>
  <c r="N70" i="3" s="1"/>
  <c r="M71" i="3"/>
  <c r="N71" i="3" s="1"/>
  <c r="M72" i="3"/>
  <c r="N72" i="3" s="1"/>
  <c r="M73" i="3"/>
  <c r="N73" i="3" s="1"/>
  <c r="M74" i="3"/>
  <c r="N74" i="3" s="1"/>
  <c r="M75" i="3"/>
  <c r="N75" i="3" s="1"/>
  <c r="M76" i="3"/>
  <c r="N76" i="3" s="1"/>
  <c r="M77" i="3"/>
  <c r="N77" i="3" s="1"/>
  <c r="M78" i="3"/>
  <c r="N78" i="3" s="1"/>
  <c r="M79" i="3"/>
  <c r="N79" i="3" s="1"/>
  <c r="M80" i="3"/>
  <c r="N80" i="3" s="1"/>
  <c r="M81" i="3"/>
  <c r="N81" i="3" s="1"/>
  <c r="M82" i="3"/>
  <c r="N82" i="3" s="1"/>
  <c r="M83" i="3"/>
  <c r="N83" i="3" s="1"/>
  <c r="M84" i="3"/>
  <c r="N84" i="3" s="1"/>
  <c r="M85" i="3"/>
  <c r="N85" i="3" s="1"/>
  <c r="M86" i="3"/>
  <c r="N86" i="3" s="1"/>
  <c r="M87" i="3"/>
  <c r="N87" i="3" s="1"/>
  <c r="M88" i="3"/>
  <c r="N88" i="3" s="1"/>
  <c r="M89" i="3"/>
  <c r="N89" i="3" s="1"/>
  <c r="M90" i="3"/>
  <c r="N90" i="3" s="1"/>
  <c r="M91" i="3"/>
  <c r="N91" i="3" s="1"/>
  <c r="M92" i="3"/>
  <c r="N92" i="3" s="1"/>
  <c r="M93" i="3"/>
  <c r="N93" i="3" s="1"/>
  <c r="M94" i="3"/>
  <c r="N94" i="3" s="1"/>
  <c r="M95" i="3"/>
  <c r="N95" i="3" s="1"/>
  <c r="M96" i="3"/>
  <c r="N96" i="3" s="1"/>
  <c r="M97" i="3"/>
  <c r="N97" i="3" s="1"/>
  <c r="M98" i="3"/>
  <c r="N98" i="3" s="1"/>
  <c r="M99" i="3"/>
  <c r="N99" i="3" s="1"/>
  <c r="M100" i="3"/>
  <c r="N100" i="3" s="1"/>
  <c r="M101" i="3"/>
  <c r="N101" i="3" s="1"/>
  <c r="M102" i="3"/>
  <c r="N102" i="3" s="1"/>
  <c r="M103" i="3"/>
  <c r="N103" i="3" s="1"/>
  <c r="M104" i="3"/>
  <c r="N104" i="3" s="1"/>
  <c r="M105" i="3"/>
  <c r="N105" i="3" s="1"/>
  <c r="M106" i="3"/>
  <c r="N106" i="3" s="1"/>
  <c r="M107" i="3"/>
  <c r="N107" i="3" s="1"/>
  <c r="M2" i="3"/>
  <c r="N2" i="3" s="1"/>
  <c r="P2" i="3" l="1"/>
  <c r="P5" i="3" s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3" i="2"/>
  <c r="K94" i="2"/>
  <c r="K95" i="2"/>
  <c r="K96" i="2"/>
  <c r="K97" i="2"/>
  <c r="K98" i="2"/>
  <c r="K99" i="2"/>
  <c r="K100" i="2"/>
  <c r="K101" i="2"/>
  <c r="AA3" i="1" l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L64" i="2" l="1"/>
  <c r="L3" i="2"/>
  <c r="M3" i="2" s="1"/>
  <c r="L4" i="2"/>
  <c r="M4" i="2" s="1"/>
  <c r="L5" i="2"/>
  <c r="L6" i="2"/>
  <c r="M6" i="2" s="1"/>
  <c r="L7" i="2"/>
  <c r="L8" i="2"/>
  <c r="L9" i="2"/>
  <c r="V9" i="2" s="1"/>
  <c r="L10" i="2"/>
  <c r="M10" i="2" s="1"/>
  <c r="L11" i="2"/>
  <c r="M11" i="2" s="1"/>
  <c r="L12" i="2"/>
  <c r="L13" i="2"/>
  <c r="V13" i="2" s="1"/>
  <c r="L14" i="2"/>
  <c r="L15" i="2"/>
  <c r="M15" i="2" s="1"/>
  <c r="L16" i="2"/>
  <c r="M16" i="2" s="1"/>
  <c r="L17" i="2"/>
  <c r="V17" i="2" s="1"/>
  <c r="L18" i="2"/>
  <c r="L19" i="2"/>
  <c r="L20" i="2"/>
  <c r="M20" i="2" s="1"/>
  <c r="L21" i="2"/>
  <c r="V21" i="2" s="1"/>
  <c r="L22" i="2"/>
  <c r="L23" i="2"/>
  <c r="M23" i="2" s="1"/>
  <c r="L24" i="2"/>
  <c r="M24" i="2" s="1"/>
  <c r="L25" i="2"/>
  <c r="V25" i="2" s="1"/>
  <c r="L26" i="2"/>
  <c r="M26" i="2" s="1"/>
  <c r="L27" i="2"/>
  <c r="M27" i="2" s="1"/>
  <c r="L28" i="2"/>
  <c r="M28" i="2" s="1"/>
  <c r="L29" i="2"/>
  <c r="V29" i="2" s="1"/>
  <c r="L30" i="2"/>
  <c r="M30" i="2" s="1"/>
  <c r="L31" i="2"/>
  <c r="M31" i="2" s="1"/>
  <c r="L32" i="2"/>
  <c r="M32" i="2" s="1"/>
  <c r="L33" i="2"/>
  <c r="V33" i="2" s="1"/>
  <c r="L34" i="2"/>
  <c r="L35" i="2"/>
  <c r="L36" i="2"/>
  <c r="L37" i="2"/>
  <c r="V37" i="2" s="1"/>
  <c r="L38" i="2"/>
  <c r="L39" i="2"/>
  <c r="L40" i="2"/>
  <c r="M40" i="2" s="1"/>
  <c r="L41" i="2"/>
  <c r="L42" i="2"/>
  <c r="L43" i="2"/>
  <c r="L44" i="2"/>
  <c r="L45" i="2"/>
  <c r="M45" i="2" s="1"/>
  <c r="L46" i="2"/>
  <c r="L47" i="2"/>
  <c r="M47" i="2" s="1"/>
  <c r="L48" i="2"/>
  <c r="L49" i="2"/>
  <c r="L50" i="2"/>
  <c r="L51" i="2"/>
  <c r="L52" i="2"/>
  <c r="L53" i="2"/>
  <c r="L54" i="2"/>
  <c r="M54" i="2" s="1"/>
  <c r="L55" i="2"/>
  <c r="L56" i="2"/>
  <c r="L57" i="2"/>
  <c r="L58" i="2"/>
  <c r="M58" i="2" s="1"/>
  <c r="L59" i="2"/>
  <c r="L60" i="2"/>
  <c r="L61" i="2"/>
  <c r="L62" i="2"/>
  <c r="M62" i="2" s="1"/>
  <c r="L63" i="2"/>
  <c r="L65" i="2"/>
  <c r="V65" i="2" s="1"/>
  <c r="L66" i="2"/>
  <c r="L67" i="2"/>
  <c r="L68" i="2"/>
  <c r="L69" i="2"/>
  <c r="V69" i="2" s="1"/>
  <c r="L70" i="2"/>
  <c r="L71" i="2"/>
  <c r="M71" i="2" s="1"/>
  <c r="L72" i="2"/>
  <c r="L73" i="2"/>
  <c r="V73" i="2" s="1"/>
  <c r="L74" i="2"/>
  <c r="L75" i="2"/>
  <c r="L76" i="2"/>
  <c r="L77" i="2"/>
  <c r="L78" i="2"/>
  <c r="M78" i="2" s="1"/>
  <c r="L79" i="2"/>
  <c r="M79" i="2" s="1"/>
  <c r="L80" i="2"/>
  <c r="L81" i="2"/>
  <c r="V81" i="2" s="1"/>
  <c r="L82" i="2"/>
  <c r="M82" i="2" s="1"/>
  <c r="L83" i="2"/>
  <c r="M83" i="2" s="1"/>
  <c r="L84" i="2"/>
  <c r="L85" i="2"/>
  <c r="L86" i="2"/>
  <c r="M86" i="2" s="1"/>
  <c r="L87" i="2"/>
  <c r="M87" i="2" s="1"/>
  <c r="L88" i="2"/>
  <c r="L89" i="2"/>
  <c r="V89" i="2" s="1"/>
  <c r="L90" i="2"/>
  <c r="L91" i="2"/>
  <c r="M91" i="2" s="1"/>
  <c r="L93" i="2"/>
  <c r="V93" i="2" s="1"/>
  <c r="L94" i="2"/>
  <c r="M94" i="2" s="1"/>
  <c r="L95" i="2"/>
  <c r="L96" i="2"/>
  <c r="L97" i="2"/>
  <c r="V97" i="2" s="1"/>
  <c r="L98" i="2"/>
  <c r="L99" i="2"/>
  <c r="L100" i="2"/>
  <c r="L101" i="2"/>
  <c r="L2" i="2"/>
  <c r="V5" i="2"/>
  <c r="B29" i="2"/>
  <c r="C29" i="2"/>
  <c r="E29" i="2"/>
  <c r="F29" i="2"/>
  <c r="B30" i="2"/>
  <c r="C30" i="2"/>
  <c r="E30" i="2"/>
  <c r="F30" i="2"/>
  <c r="B31" i="2"/>
  <c r="C31" i="2"/>
  <c r="E31" i="2"/>
  <c r="F31" i="2"/>
  <c r="B32" i="2"/>
  <c r="C32" i="2"/>
  <c r="E32" i="2"/>
  <c r="F32" i="2"/>
  <c r="B33" i="2"/>
  <c r="C33" i="2"/>
  <c r="E33" i="2"/>
  <c r="F33" i="2"/>
  <c r="B34" i="2"/>
  <c r="C34" i="2"/>
  <c r="E34" i="2"/>
  <c r="F34" i="2"/>
  <c r="B35" i="2"/>
  <c r="C35" i="2"/>
  <c r="E35" i="2"/>
  <c r="F35" i="2"/>
  <c r="B36" i="2"/>
  <c r="C36" i="2"/>
  <c r="N36" i="2" s="1"/>
  <c r="P36" i="2" s="1"/>
  <c r="E36" i="2"/>
  <c r="F36" i="2"/>
  <c r="B37" i="2"/>
  <c r="C37" i="2"/>
  <c r="E37" i="2"/>
  <c r="F37" i="2"/>
  <c r="B38" i="2"/>
  <c r="C38" i="2"/>
  <c r="E38" i="2"/>
  <c r="F38" i="2"/>
  <c r="B39" i="2"/>
  <c r="C39" i="2"/>
  <c r="E39" i="2"/>
  <c r="F39" i="2"/>
  <c r="B40" i="2"/>
  <c r="C40" i="2"/>
  <c r="N40" i="2" s="1"/>
  <c r="P40" i="2" s="1"/>
  <c r="E40" i="2"/>
  <c r="F40" i="2"/>
  <c r="B41" i="2"/>
  <c r="C41" i="2"/>
  <c r="E41" i="2"/>
  <c r="F41" i="2"/>
  <c r="B42" i="2"/>
  <c r="C42" i="2"/>
  <c r="E42" i="2"/>
  <c r="F42" i="2"/>
  <c r="B43" i="2"/>
  <c r="C43" i="2"/>
  <c r="N43" i="2" s="1"/>
  <c r="P43" i="2" s="1"/>
  <c r="E43" i="2"/>
  <c r="F43" i="2"/>
  <c r="B44" i="2"/>
  <c r="C44" i="2"/>
  <c r="E44" i="2"/>
  <c r="F44" i="2"/>
  <c r="B45" i="2"/>
  <c r="C45" i="2"/>
  <c r="E45" i="2"/>
  <c r="F45" i="2"/>
  <c r="B46" i="2"/>
  <c r="C46" i="2"/>
  <c r="E46" i="2"/>
  <c r="F46" i="2"/>
  <c r="B47" i="2"/>
  <c r="C47" i="2"/>
  <c r="E47" i="2"/>
  <c r="F47" i="2"/>
  <c r="B48" i="2"/>
  <c r="C48" i="2"/>
  <c r="E48" i="2"/>
  <c r="F48" i="2"/>
  <c r="B49" i="2"/>
  <c r="C49" i="2"/>
  <c r="E49" i="2"/>
  <c r="F49" i="2"/>
  <c r="B50" i="2"/>
  <c r="C50" i="2"/>
  <c r="N50" i="2" s="1"/>
  <c r="P50" i="2" s="1"/>
  <c r="E50" i="2"/>
  <c r="F50" i="2"/>
  <c r="B51" i="2"/>
  <c r="C51" i="2"/>
  <c r="E51" i="2"/>
  <c r="F51" i="2"/>
  <c r="B52" i="2"/>
  <c r="C52" i="2"/>
  <c r="E52" i="2"/>
  <c r="F52" i="2"/>
  <c r="B53" i="2"/>
  <c r="C53" i="2"/>
  <c r="E53" i="2"/>
  <c r="R53" i="2" s="1"/>
  <c r="F53" i="2"/>
  <c r="B54" i="2"/>
  <c r="C54" i="2"/>
  <c r="E54" i="2"/>
  <c r="F54" i="2"/>
  <c r="B55" i="2"/>
  <c r="C55" i="2"/>
  <c r="E55" i="2"/>
  <c r="F55" i="2"/>
  <c r="B56" i="2"/>
  <c r="C56" i="2"/>
  <c r="E56" i="2"/>
  <c r="F56" i="2"/>
  <c r="B57" i="2"/>
  <c r="C57" i="2"/>
  <c r="E57" i="2"/>
  <c r="F57" i="2"/>
  <c r="B58" i="2"/>
  <c r="C58" i="2"/>
  <c r="E58" i="2"/>
  <c r="F58" i="2"/>
  <c r="B59" i="2"/>
  <c r="C59" i="2"/>
  <c r="E59" i="2"/>
  <c r="F59" i="2"/>
  <c r="B60" i="2"/>
  <c r="C60" i="2"/>
  <c r="E60" i="2"/>
  <c r="F60" i="2"/>
  <c r="B61" i="2"/>
  <c r="C61" i="2"/>
  <c r="E61" i="2"/>
  <c r="F61" i="2"/>
  <c r="B62" i="2"/>
  <c r="C62" i="2"/>
  <c r="E62" i="2"/>
  <c r="F62" i="2"/>
  <c r="B63" i="2"/>
  <c r="C63" i="2"/>
  <c r="E63" i="2"/>
  <c r="F63" i="2"/>
  <c r="B64" i="2"/>
  <c r="C64" i="2"/>
  <c r="E64" i="2"/>
  <c r="F64" i="2"/>
  <c r="B65" i="2"/>
  <c r="C65" i="2"/>
  <c r="E65" i="2"/>
  <c r="F65" i="2"/>
  <c r="B66" i="2"/>
  <c r="C66" i="2"/>
  <c r="E66" i="2"/>
  <c r="F66" i="2"/>
  <c r="B67" i="2"/>
  <c r="C67" i="2"/>
  <c r="E67" i="2"/>
  <c r="F67" i="2"/>
  <c r="B68" i="2"/>
  <c r="C68" i="2"/>
  <c r="E68" i="2"/>
  <c r="F68" i="2"/>
  <c r="B69" i="2"/>
  <c r="C69" i="2"/>
  <c r="E69" i="2"/>
  <c r="R69" i="2" s="1"/>
  <c r="F69" i="2"/>
  <c r="B70" i="2"/>
  <c r="C70" i="2"/>
  <c r="E70" i="2"/>
  <c r="F70" i="2"/>
  <c r="B71" i="2"/>
  <c r="C71" i="2"/>
  <c r="E71" i="2"/>
  <c r="F71" i="2"/>
  <c r="B72" i="2"/>
  <c r="C72" i="2"/>
  <c r="E72" i="2"/>
  <c r="F72" i="2"/>
  <c r="B73" i="2"/>
  <c r="C73" i="2"/>
  <c r="E73" i="2"/>
  <c r="R73" i="2" s="1"/>
  <c r="F73" i="2"/>
  <c r="B74" i="2"/>
  <c r="C74" i="2"/>
  <c r="E74" i="2"/>
  <c r="F74" i="2"/>
  <c r="B75" i="2"/>
  <c r="C75" i="2"/>
  <c r="E75" i="2"/>
  <c r="F75" i="2"/>
  <c r="B76" i="2"/>
  <c r="C76" i="2"/>
  <c r="E76" i="2"/>
  <c r="F76" i="2"/>
  <c r="B77" i="2"/>
  <c r="C77" i="2"/>
  <c r="N77" i="2" s="1"/>
  <c r="P77" i="2" s="1"/>
  <c r="E77" i="2"/>
  <c r="F77" i="2"/>
  <c r="B78" i="2"/>
  <c r="C78" i="2"/>
  <c r="E78" i="2"/>
  <c r="F78" i="2"/>
  <c r="B79" i="2"/>
  <c r="C79" i="2"/>
  <c r="E79" i="2"/>
  <c r="F79" i="2"/>
  <c r="B80" i="2"/>
  <c r="C80" i="2"/>
  <c r="E80" i="2"/>
  <c r="F80" i="2"/>
  <c r="B81" i="2"/>
  <c r="C81" i="2"/>
  <c r="E81" i="2"/>
  <c r="F81" i="2"/>
  <c r="B82" i="2"/>
  <c r="C82" i="2"/>
  <c r="E82" i="2"/>
  <c r="F82" i="2"/>
  <c r="B83" i="2"/>
  <c r="C83" i="2"/>
  <c r="E83" i="2"/>
  <c r="F83" i="2"/>
  <c r="B84" i="2"/>
  <c r="C84" i="2"/>
  <c r="E84" i="2"/>
  <c r="F84" i="2"/>
  <c r="B85" i="2"/>
  <c r="C85" i="2"/>
  <c r="E85" i="2"/>
  <c r="F85" i="2"/>
  <c r="B86" i="2"/>
  <c r="C86" i="2"/>
  <c r="E86" i="2"/>
  <c r="F86" i="2"/>
  <c r="B87" i="2"/>
  <c r="C87" i="2"/>
  <c r="N87" i="2" s="1"/>
  <c r="P87" i="2" s="1"/>
  <c r="E87" i="2"/>
  <c r="F87" i="2"/>
  <c r="B88" i="2"/>
  <c r="C88" i="2"/>
  <c r="E88" i="2"/>
  <c r="F88" i="2"/>
  <c r="B89" i="2"/>
  <c r="C89" i="2"/>
  <c r="N89" i="2" s="1"/>
  <c r="P89" i="2" s="1"/>
  <c r="E89" i="2"/>
  <c r="F89" i="2"/>
  <c r="B90" i="2"/>
  <c r="C90" i="2"/>
  <c r="N90" i="2" s="1"/>
  <c r="P90" i="2" s="1"/>
  <c r="E90" i="2"/>
  <c r="F90" i="2"/>
  <c r="B91" i="2"/>
  <c r="C91" i="2"/>
  <c r="E91" i="2"/>
  <c r="F91" i="2"/>
  <c r="B92" i="2"/>
  <c r="C92" i="2"/>
  <c r="E92" i="2"/>
  <c r="F92" i="2"/>
  <c r="B93" i="2"/>
  <c r="C93" i="2"/>
  <c r="N93" i="2" s="1"/>
  <c r="P93" i="2" s="1"/>
  <c r="E93" i="2"/>
  <c r="F93" i="2"/>
  <c r="B94" i="2"/>
  <c r="C94" i="2"/>
  <c r="E94" i="2"/>
  <c r="F94" i="2"/>
  <c r="B95" i="2"/>
  <c r="C95" i="2"/>
  <c r="E95" i="2"/>
  <c r="F95" i="2"/>
  <c r="B96" i="2"/>
  <c r="C96" i="2"/>
  <c r="E96" i="2"/>
  <c r="F96" i="2"/>
  <c r="B97" i="2"/>
  <c r="C97" i="2"/>
  <c r="E97" i="2"/>
  <c r="F97" i="2"/>
  <c r="B98" i="2"/>
  <c r="C98" i="2"/>
  <c r="E98" i="2"/>
  <c r="F98" i="2"/>
  <c r="B99" i="2"/>
  <c r="C99" i="2"/>
  <c r="E99" i="2"/>
  <c r="F99" i="2"/>
  <c r="B100" i="2"/>
  <c r="C100" i="2"/>
  <c r="E100" i="2"/>
  <c r="F100" i="2"/>
  <c r="B101" i="2"/>
  <c r="C101" i="2"/>
  <c r="E101" i="2"/>
  <c r="F101" i="2"/>
  <c r="B3" i="2"/>
  <c r="C3" i="2"/>
  <c r="E3" i="2"/>
  <c r="F3" i="2"/>
  <c r="B4" i="2"/>
  <c r="C4" i="2"/>
  <c r="E4" i="2"/>
  <c r="F4" i="2"/>
  <c r="B5" i="2"/>
  <c r="C5" i="2"/>
  <c r="E5" i="2"/>
  <c r="F5" i="2"/>
  <c r="B6" i="2"/>
  <c r="C6" i="2"/>
  <c r="E6" i="2"/>
  <c r="F6" i="2"/>
  <c r="B7" i="2"/>
  <c r="C7" i="2"/>
  <c r="E7" i="2"/>
  <c r="F7" i="2"/>
  <c r="B8" i="2"/>
  <c r="C8" i="2"/>
  <c r="E8" i="2"/>
  <c r="F8" i="2"/>
  <c r="B9" i="2"/>
  <c r="C9" i="2"/>
  <c r="E9" i="2"/>
  <c r="F9" i="2"/>
  <c r="B10" i="2"/>
  <c r="C10" i="2"/>
  <c r="E10" i="2"/>
  <c r="F10" i="2"/>
  <c r="B11" i="2"/>
  <c r="C11" i="2"/>
  <c r="E11" i="2"/>
  <c r="F11" i="2"/>
  <c r="B12" i="2"/>
  <c r="C12" i="2"/>
  <c r="E12" i="2"/>
  <c r="F12" i="2"/>
  <c r="B13" i="2"/>
  <c r="C13" i="2"/>
  <c r="E13" i="2"/>
  <c r="F13" i="2"/>
  <c r="B14" i="2"/>
  <c r="C14" i="2"/>
  <c r="E14" i="2"/>
  <c r="F14" i="2"/>
  <c r="B15" i="2"/>
  <c r="C15" i="2"/>
  <c r="E15" i="2"/>
  <c r="R15" i="2" s="1"/>
  <c r="F15" i="2"/>
  <c r="B16" i="2"/>
  <c r="C16" i="2"/>
  <c r="E16" i="2"/>
  <c r="F16" i="2"/>
  <c r="B17" i="2"/>
  <c r="C17" i="2"/>
  <c r="E17" i="2"/>
  <c r="F17" i="2"/>
  <c r="B18" i="2"/>
  <c r="C18" i="2"/>
  <c r="E18" i="2"/>
  <c r="F18" i="2"/>
  <c r="B19" i="2"/>
  <c r="C19" i="2"/>
  <c r="E19" i="2"/>
  <c r="F19" i="2"/>
  <c r="B20" i="2"/>
  <c r="C20" i="2"/>
  <c r="E20" i="2"/>
  <c r="F20" i="2"/>
  <c r="B21" i="2"/>
  <c r="C21" i="2"/>
  <c r="E21" i="2"/>
  <c r="F21" i="2"/>
  <c r="B22" i="2"/>
  <c r="C22" i="2"/>
  <c r="E22" i="2"/>
  <c r="F22" i="2"/>
  <c r="B23" i="2"/>
  <c r="C23" i="2"/>
  <c r="E23" i="2"/>
  <c r="F23" i="2"/>
  <c r="B24" i="2"/>
  <c r="C24" i="2"/>
  <c r="E24" i="2"/>
  <c r="F24" i="2"/>
  <c r="B25" i="2"/>
  <c r="C25" i="2"/>
  <c r="E25" i="2"/>
  <c r="F25" i="2"/>
  <c r="B26" i="2"/>
  <c r="C26" i="2"/>
  <c r="N26" i="2" s="1"/>
  <c r="P26" i="2" s="1"/>
  <c r="E26" i="2"/>
  <c r="F26" i="2"/>
  <c r="B27" i="2"/>
  <c r="C27" i="2"/>
  <c r="E27" i="2"/>
  <c r="F27" i="2"/>
  <c r="B28" i="2"/>
  <c r="C28" i="2"/>
  <c r="E28" i="2"/>
  <c r="F28" i="2"/>
  <c r="V41" i="2" l="1"/>
  <c r="M41" i="2"/>
  <c r="V77" i="2"/>
  <c r="M77" i="2"/>
  <c r="V85" i="2"/>
  <c r="M85" i="2"/>
  <c r="M29" i="2"/>
  <c r="M73" i="2"/>
  <c r="M9" i="2"/>
  <c r="V45" i="2"/>
  <c r="W45" i="2" s="1"/>
  <c r="R101" i="2"/>
  <c r="R94" i="2"/>
  <c r="R36" i="2"/>
  <c r="N28" i="2"/>
  <c r="P28" i="2" s="1"/>
  <c r="R24" i="2"/>
  <c r="R8" i="2"/>
  <c r="N24" i="2"/>
  <c r="P24" i="2" s="1"/>
  <c r="N19" i="2"/>
  <c r="P19" i="2" s="1"/>
  <c r="N16" i="2"/>
  <c r="P16" i="2" s="1"/>
  <c r="N15" i="2"/>
  <c r="P15" i="2" s="1"/>
  <c r="N12" i="2"/>
  <c r="P12" i="2" s="1"/>
  <c r="N8" i="2"/>
  <c r="P8" i="2" s="1"/>
  <c r="N4" i="2"/>
  <c r="P4" i="2" s="1"/>
  <c r="N3" i="2"/>
  <c r="P3" i="2" s="1"/>
  <c r="N98" i="2"/>
  <c r="P98" i="2" s="1"/>
  <c r="R32" i="2"/>
  <c r="V2" i="2"/>
  <c r="V98" i="2"/>
  <c r="W98" i="2" s="1"/>
  <c r="V94" i="2"/>
  <c r="W94" i="2" s="1"/>
  <c r="V90" i="2"/>
  <c r="W90" i="2" s="1"/>
  <c r="V86" i="2"/>
  <c r="W86" i="2" s="1"/>
  <c r="V82" i="2"/>
  <c r="W82" i="2" s="1"/>
  <c r="V78" i="2"/>
  <c r="V74" i="2"/>
  <c r="W74" i="2" s="1"/>
  <c r="V70" i="2"/>
  <c r="W70" i="2" s="1"/>
  <c r="V66" i="2"/>
  <c r="W66" i="2" s="1"/>
  <c r="V62" i="2"/>
  <c r="V58" i="2"/>
  <c r="W58" i="2" s="1"/>
  <c r="V54" i="2"/>
  <c r="W54" i="2" s="1"/>
  <c r="V50" i="2"/>
  <c r="W50" i="2" s="1"/>
  <c r="V43" i="2"/>
  <c r="W43" i="2" s="1"/>
  <c r="V39" i="2"/>
  <c r="W39" i="2" s="1"/>
  <c r="V35" i="2"/>
  <c r="V31" i="2"/>
  <c r="W31" i="2" s="1"/>
  <c r="V27" i="2"/>
  <c r="W27" i="2" s="1"/>
  <c r="V23" i="2"/>
  <c r="W23" i="2" s="1"/>
  <c r="V19" i="2"/>
  <c r="W19" i="2" s="1"/>
  <c r="V15" i="2"/>
  <c r="W15" i="2" s="1"/>
  <c r="V11" i="2"/>
  <c r="W11" i="2" s="1"/>
  <c r="V7" i="2"/>
  <c r="W7" i="2" s="1"/>
  <c r="V3" i="2"/>
  <c r="V64" i="2"/>
  <c r="W64" i="2" s="1"/>
  <c r="R17" i="2"/>
  <c r="R13" i="2"/>
  <c r="V61" i="2"/>
  <c r="W61" i="2" s="1"/>
  <c r="V57" i="2"/>
  <c r="W57" i="2" s="1"/>
  <c r="V53" i="2"/>
  <c r="W53" i="2" s="1"/>
  <c r="V49" i="2"/>
  <c r="W49" i="2" s="1"/>
  <c r="V16" i="2"/>
  <c r="W16" i="2" s="1"/>
  <c r="V12" i="2"/>
  <c r="W12" i="2" s="1"/>
  <c r="V4" i="2"/>
  <c r="W4" i="2" s="1"/>
  <c r="M12" i="2"/>
  <c r="V99" i="2"/>
  <c r="W99" i="2" s="1"/>
  <c r="V95" i="2"/>
  <c r="W95" i="2" s="1"/>
  <c r="V91" i="2"/>
  <c r="W91" i="2" s="1"/>
  <c r="V87" i="2"/>
  <c r="W87" i="2" s="1"/>
  <c r="V83" i="2"/>
  <c r="W83" i="2" s="1"/>
  <c r="V79" i="2"/>
  <c r="W79" i="2" s="1"/>
  <c r="V75" i="2"/>
  <c r="W75" i="2" s="1"/>
  <c r="V71" i="2"/>
  <c r="W71" i="2" s="1"/>
  <c r="V67" i="2"/>
  <c r="V63" i="2"/>
  <c r="W63" i="2" s="1"/>
  <c r="V59" i="2"/>
  <c r="W59" i="2" s="1"/>
  <c r="V55" i="2"/>
  <c r="W55" i="2" s="1"/>
  <c r="V51" i="2"/>
  <c r="W51" i="2" s="1"/>
  <c r="V47" i="2"/>
  <c r="W47" i="2" s="1"/>
  <c r="V44" i="2"/>
  <c r="W44" i="2" s="1"/>
  <c r="V40" i="2"/>
  <c r="W40" i="2" s="1"/>
  <c r="V36" i="2"/>
  <c r="W36" i="2" s="1"/>
  <c r="V32" i="2"/>
  <c r="W32" i="2" s="1"/>
  <c r="V28" i="2"/>
  <c r="V24" i="2"/>
  <c r="W24" i="2" s="1"/>
  <c r="V20" i="2"/>
  <c r="W20" i="2" s="1"/>
  <c r="V8" i="2"/>
  <c r="W8" i="2" s="1"/>
  <c r="V100" i="2"/>
  <c r="W100" i="2" s="1"/>
  <c r="V96" i="2"/>
  <c r="W96" i="2" s="1"/>
  <c r="V92" i="2"/>
  <c r="W92" i="2" s="1"/>
  <c r="V88" i="2"/>
  <c r="W88" i="2" s="1"/>
  <c r="V84" i="2"/>
  <c r="W84" i="2" s="1"/>
  <c r="V80" i="2"/>
  <c r="W80" i="2" s="1"/>
  <c r="V76" i="2"/>
  <c r="W76" i="2" s="1"/>
  <c r="V72" i="2"/>
  <c r="W72" i="2" s="1"/>
  <c r="V68" i="2"/>
  <c r="W68" i="2" s="1"/>
  <c r="V60" i="2"/>
  <c r="W60" i="2" s="1"/>
  <c r="V56" i="2"/>
  <c r="W56" i="2" s="1"/>
  <c r="V52" i="2"/>
  <c r="W52" i="2" s="1"/>
  <c r="V48" i="2"/>
  <c r="W48" i="2" s="1"/>
  <c r="V101" i="2"/>
  <c r="W101" i="2" s="1"/>
  <c r="V46" i="2"/>
  <c r="W46" i="2" s="1"/>
  <c r="V42" i="2"/>
  <c r="W42" i="2" s="1"/>
  <c r="V38" i="2"/>
  <c r="W38" i="2" s="1"/>
  <c r="V34" i="2"/>
  <c r="W34" i="2" s="1"/>
  <c r="V30" i="2"/>
  <c r="W30" i="2" s="1"/>
  <c r="V26" i="2"/>
  <c r="V22" i="2"/>
  <c r="W22" i="2" s="1"/>
  <c r="V18" i="2"/>
  <c r="W18" i="2" s="1"/>
  <c r="V14" i="2"/>
  <c r="W14" i="2" s="1"/>
  <c r="V6" i="2"/>
  <c r="M18" i="2"/>
  <c r="M84" i="2"/>
  <c r="M60" i="2"/>
  <c r="M14" i="2"/>
  <c r="M56" i="2"/>
  <c r="V10" i="2"/>
  <c r="W10" i="2" s="1"/>
  <c r="R26" i="2"/>
  <c r="R34" i="2"/>
  <c r="N30" i="2"/>
  <c r="P30" i="2" s="1"/>
  <c r="N10" i="2"/>
  <c r="P10" i="2" s="1"/>
  <c r="N6" i="2"/>
  <c r="P6" i="2" s="1"/>
  <c r="N51" i="2"/>
  <c r="P51" i="2" s="1"/>
  <c r="N38" i="2"/>
  <c r="P38" i="2" s="1"/>
  <c r="N20" i="2"/>
  <c r="P20" i="2" s="1"/>
  <c r="N27" i="2"/>
  <c r="P27" i="2" s="1"/>
  <c r="N25" i="2"/>
  <c r="P25" i="2" s="1"/>
  <c r="N54" i="2"/>
  <c r="P54" i="2" s="1"/>
  <c r="R16" i="2"/>
  <c r="N101" i="2"/>
  <c r="P101" i="2" s="1"/>
  <c r="R93" i="2"/>
  <c r="R77" i="2"/>
  <c r="N73" i="2"/>
  <c r="P73" i="2" s="1"/>
  <c r="N69" i="2"/>
  <c r="P69" i="2" s="1"/>
  <c r="N67" i="2"/>
  <c r="P67" i="2" s="1"/>
  <c r="N65" i="2"/>
  <c r="P65" i="2" s="1"/>
  <c r="N35" i="2"/>
  <c r="P35" i="2" s="1"/>
  <c r="N11" i="2"/>
  <c r="P11" i="2" s="1"/>
  <c r="N7" i="2"/>
  <c r="P7" i="2" s="1"/>
  <c r="N85" i="2"/>
  <c r="P85" i="2" s="1"/>
  <c r="R81" i="2"/>
  <c r="R11" i="2"/>
  <c r="R7" i="2"/>
  <c r="N97" i="2"/>
  <c r="P97" i="2" s="1"/>
  <c r="N81" i="2"/>
  <c r="P81" i="2" s="1"/>
  <c r="S73" i="2"/>
  <c r="N61" i="2"/>
  <c r="P61" i="2" s="1"/>
  <c r="R23" i="2"/>
  <c r="R27" i="2"/>
  <c r="N23" i="2"/>
  <c r="P23" i="2" s="1"/>
  <c r="N46" i="2"/>
  <c r="P46" i="2" s="1"/>
  <c r="N76" i="2"/>
  <c r="P76" i="2" s="1"/>
  <c r="N74" i="2"/>
  <c r="P74" i="2" s="1"/>
  <c r="N68" i="2"/>
  <c r="P68" i="2" s="1"/>
  <c r="W62" i="2"/>
  <c r="R82" i="2"/>
  <c r="R80" i="2"/>
  <c r="R54" i="2"/>
  <c r="R50" i="2"/>
  <c r="R84" i="2"/>
  <c r="N78" i="2"/>
  <c r="P78" i="2" s="1"/>
  <c r="N66" i="2"/>
  <c r="P66" i="2" s="1"/>
  <c r="W85" i="2"/>
  <c r="R70" i="2"/>
  <c r="N58" i="2"/>
  <c r="P58" i="2" s="1"/>
  <c r="S32" i="2"/>
  <c r="S94" i="2"/>
  <c r="S95" i="2"/>
  <c r="R21" i="2"/>
  <c r="G85" i="2"/>
  <c r="N95" i="2"/>
  <c r="P95" i="2" s="1"/>
  <c r="R79" i="2"/>
  <c r="W65" i="2"/>
  <c r="S63" i="2"/>
  <c r="N59" i="2"/>
  <c r="P59" i="2" s="1"/>
  <c r="N57" i="2"/>
  <c r="P57" i="2" s="1"/>
  <c r="R41" i="2"/>
  <c r="N37" i="2"/>
  <c r="P37" i="2" s="1"/>
  <c r="N31" i="2"/>
  <c r="P31" i="2" s="1"/>
  <c r="N29" i="2"/>
  <c r="P29" i="2" s="1"/>
  <c r="G13" i="2"/>
  <c r="G88" i="2"/>
  <c r="S53" i="2"/>
  <c r="G43" i="2"/>
  <c r="S12" i="2"/>
  <c r="G65" i="2"/>
  <c r="G63" i="2"/>
  <c r="N49" i="2"/>
  <c r="P49" i="2" s="1"/>
  <c r="R39" i="2"/>
  <c r="G27" i="2"/>
  <c r="G21" i="2"/>
  <c r="S74" i="2"/>
  <c r="R65" i="2"/>
  <c r="S50" i="2"/>
  <c r="S46" i="2"/>
  <c r="N45" i="2"/>
  <c r="P45" i="2" s="1"/>
  <c r="R43" i="2"/>
  <c r="W41" i="2"/>
  <c r="R35" i="2"/>
  <c r="R47" i="2"/>
  <c r="G84" i="2"/>
  <c r="S59" i="2"/>
  <c r="R57" i="2"/>
  <c r="S54" i="2"/>
  <c r="N53" i="2"/>
  <c r="P53" i="2" s="1"/>
  <c r="R49" i="2"/>
  <c r="N39" i="2"/>
  <c r="P39" i="2" s="1"/>
  <c r="S36" i="2"/>
  <c r="W97" i="2"/>
  <c r="W93" i="2"/>
  <c r="W89" i="2"/>
  <c r="W81" i="2"/>
  <c r="W77" i="2"/>
  <c r="W73" i="2"/>
  <c r="W69" i="2"/>
  <c r="W25" i="2"/>
  <c r="W17" i="2"/>
  <c r="W13" i="2"/>
  <c r="M69" i="2"/>
  <c r="R5" i="2"/>
  <c r="M52" i="2"/>
  <c r="N22" i="2"/>
  <c r="P22" i="2" s="1"/>
  <c r="R92" i="2"/>
  <c r="N64" i="2"/>
  <c r="P64" i="2" s="1"/>
  <c r="R52" i="2"/>
  <c r="N42" i="2"/>
  <c r="P42" i="2" s="1"/>
  <c r="R45" i="2"/>
  <c r="R25" i="2"/>
  <c r="R100" i="2"/>
  <c r="S99" i="2"/>
  <c r="R95" i="2"/>
  <c r="R88" i="2"/>
  <c r="N75" i="2"/>
  <c r="P75" i="2" s="1"/>
  <c r="R72" i="2"/>
  <c r="N71" i="2"/>
  <c r="P71" i="2" s="1"/>
  <c r="R68" i="2"/>
  <c r="W67" i="2"/>
  <c r="S67" i="2"/>
  <c r="R48" i="2"/>
  <c r="N47" i="2"/>
  <c r="P47" i="2" s="1"/>
  <c r="N56" i="2"/>
  <c r="P56" i="2" s="1"/>
  <c r="N60" i="2"/>
  <c r="P60" i="2" s="1"/>
  <c r="S38" i="2"/>
  <c r="N33" i="2"/>
  <c r="P33" i="2" s="1"/>
  <c r="R33" i="2"/>
  <c r="W21" i="2"/>
  <c r="N17" i="2"/>
  <c r="P17" i="2" s="1"/>
  <c r="N13" i="2"/>
  <c r="P13" i="2" s="1"/>
  <c r="N9" i="2"/>
  <c r="P9" i="2" s="1"/>
  <c r="R99" i="2"/>
  <c r="N96" i="2"/>
  <c r="P96" i="2" s="1"/>
  <c r="R76" i="2"/>
  <c r="S75" i="2"/>
  <c r="S71" i="2"/>
  <c r="N48" i="2"/>
  <c r="P48" i="2" s="1"/>
  <c r="S10" i="2"/>
  <c r="W9" i="2"/>
  <c r="W6" i="2"/>
  <c r="N5" i="2"/>
  <c r="P5" i="2" s="1"/>
  <c r="N100" i="2"/>
  <c r="P100" i="2" s="1"/>
  <c r="S96" i="2"/>
  <c r="N92" i="2"/>
  <c r="P92" i="2" s="1"/>
  <c r="N84" i="2"/>
  <c r="P84" i="2" s="1"/>
  <c r="R75" i="2"/>
  <c r="N72" i="2"/>
  <c r="P72" i="2" s="1"/>
  <c r="R71" i="2"/>
  <c r="N55" i="2"/>
  <c r="P55" i="2" s="1"/>
  <c r="R42" i="2"/>
  <c r="W37" i="2"/>
  <c r="S34" i="2"/>
  <c r="S24" i="2"/>
  <c r="N21" i="2"/>
  <c r="P21" i="2" s="1"/>
  <c r="R20" i="2"/>
  <c r="N18" i="2"/>
  <c r="P18" i="2" s="1"/>
  <c r="S16" i="2"/>
  <c r="N14" i="2"/>
  <c r="P14" i="2" s="1"/>
  <c r="R12" i="2"/>
  <c r="R10" i="2"/>
  <c r="W5" i="2"/>
  <c r="S100" i="2"/>
  <c r="N99" i="2"/>
  <c r="P99" i="2" s="1"/>
  <c r="R98" i="2"/>
  <c r="R96" i="2"/>
  <c r="N94" i="2"/>
  <c r="P94" i="2" s="1"/>
  <c r="S92" i="2"/>
  <c r="N91" i="2"/>
  <c r="P91" i="2" s="1"/>
  <c r="R90" i="2"/>
  <c r="N88" i="2"/>
  <c r="P88" i="2" s="1"/>
  <c r="N83" i="2"/>
  <c r="P83" i="2" s="1"/>
  <c r="N80" i="2"/>
  <c r="P80" i="2" s="1"/>
  <c r="N79" i="2"/>
  <c r="P79" i="2" s="1"/>
  <c r="W78" i="2"/>
  <c r="S70" i="2"/>
  <c r="R66" i="2"/>
  <c r="R63" i="2"/>
  <c r="R60" i="2"/>
  <c r="R44" i="2"/>
  <c r="N41" i="2"/>
  <c r="P41" i="2" s="1"/>
  <c r="N86" i="2"/>
  <c r="P86" i="2" s="1"/>
  <c r="N82" i="2"/>
  <c r="P82" i="2" s="1"/>
  <c r="R74" i="2"/>
  <c r="N70" i="2"/>
  <c r="P70" i="2" s="1"/>
  <c r="R67" i="2"/>
  <c r="S66" i="2"/>
  <c r="R64" i="2"/>
  <c r="N63" i="2"/>
  <c r="P63" i="2" s="1"/>
  <c r="N62" i="2"/>
  <c r="P62" i="2" s="1"/>
  <c r="N52" i="2"/>
  <c r="P52" i="2" s="1"/>
  <c r="R51" i="2"/>
  <c r="S48" i="2"/>
  <c r="R46" i="2"/>
  <c r="N44" i="2"/>
  <c r="P44" i="2" s="1"/>
  <c r="R37" i="2"/>
  <c r="N34" i="2"/>
  <c r="P34" i="2" s="1"/>
  <c r="N32" i="2"/>
  <c r="P32" i="2" s="1"/>
  <c r="G91" i="2"/>
  <c r="S61" i="2"/>
  <c r="R38" i="2"/>
  <c r="S7" i="2"/>
  <c r="S86" i="2"/>
  <c r="S93" i="2"/>
  <c r="S78" i="2"/>
  <c r="S65" i="2"/>
  <c r="G62" i="2"/>
  <c r="S101" i="2"/>
  <c r="S23" i="2"/>
  <c r="S20" i="2"/>
  <c r="S15" i="2"/>
  <c r="G7" i="2"/>
  <c r="M98" i="2"/>
  <c r="S97" i="2"/>
  <c r="G90" i="2"/>
  <c r="M80" i="2"/>
  <c r="S72" i="2"/>
  <c r="S64" i="2"/>
  <c r="G58" i="2"/>
  <c r="M44" i="2"/>
  <c r="S42" i="2"/>
  <c r="S41" i="2"/>
  <c r="G37" i="2"/>
  <c r="G32" i="2"/>
  <c r="G31" i="2"/>
  <c r="S98" i="2"/>
  <c r="G28" i="2"/>
  <c r="M22" i="2"/>
  <c r="G19" i="2"/>
  <c r="S13" i="2"/>
  <c r="M8" i="2"/>
  <c r="G5" i="2"/>
  <c r="S4" i="2"/>
  <c r="G3" i="2"/>
  <c r="M100" i="2"/>
  <c r="R97" i="2"/>
  <c r="M92" i="2"/>
  <c r="M89" i="2"/>
  <c r="R86" i="2"/>
  <c r="S82" i="2"/>
  <c r="S57" i="2"/>
  <c r="G56" i="2"/>
  <c r="S39" i="2"/>
  <c r="R59" i="2"/>
  <c r="S11" i="2"/>
  <c r="S9" i="2"/>
  <c r="G6" i="2"/>
  <c r="S83" i="2"/>
  <c r="G51" i="2"/>
  <c r="S47" i="2"/>
  <c r="S45" i="2"/>
  <c r="G44" i="2"/>
  <c r="W29" i="2"/>
  <c r="S69" i="2"/>
  <c r="S31" i="2"/>
  <c r="W28" i="2"/>
  <c r="G23" i="2"/>
  <c r="M17" i="2"/>
  <c r="G15" i="2"/>
  <c r="M13" i="2"/>
  <c r="S6" i="2"/>
  <c r="R3" i="2"/>
  <c r="M96" i="2"/>
  <c r="G89" i="2"/>
  <c r="S87" i="2"/>
  <c r="G86" i="2"/>
  <c r="M81" i="2"/>
  <c r="S76" i="2"/>
  <c r="M75" i="2"/>
  <c r="S68" i="2"/>
  <c r="M67" i="2"/>
  <c r="G59" i="2"/>
  <c r="G49" i="2"/>
  <c r="G39" i="2"/>
  <c r="R29" i="2"/>
  <c r="S29" i="2"/>
  <c r="S27" i="2"/>
  <c r="M19" i="2"/>
  <c r="G11" i="2"/>
  <c r="M7" i="2"/>
  <c r="R6" i="2"/>
  <c r="G4" i="2"/>
  <c r="M101" i="2"/>
  <c r="G100" i="2"/>
  <c r="M99" i="2"/>
  <c r="G98" i="2"/>
  <c r="M97" i="2"/>
  <c r="G96" i="2"/>
  <c r="M95" i="2"/>
  <c r="G94" i="2"/>
  <c r="M93" i="2"/>
  <c r="G92" i="2"/>
  <c r="S91" i="2"/>
  <c r="S90" i="2"/>
  <c r="M90" i="2"/>
  <c r="S89" i="2"/>
  <c r="S88" i="2"/>
  <c r="M88" i="2"/>
  <c r="G87" i="2"/>
  <c r="S85" i="2"/>
  <c r="S84" i="2"/>
  <c r="R83" i="2"/>
  <c r="S80" i="2"/>
  <c r="M64" i="2"/>
  <c r="S43" i="2"/>
  <c r="W35" i="2"/>
  <c r="M35" i="2"/>
  <c r="G35" i="2"/>
  <c r="S35" i="2"/>
  <c r="M34" i="2"/>
  <c r="W33" i="2"/>
  <c r="M33" i="2"/>
  <c r="G33" i="2"/>
  <c r="S33" i="2"/>
  <c r="R19" i="2"/>
  <c r="M74" i="2"/>
  <c r="R56" i="2"/>
  <c r="G55" i="2"/>
  <c r="R55" i="2"/>
  <c r="S55" i="2"/>
  <c r="M50" i="2"/>
  <c r="M42" i="2"/>
  <c r="R91" i="2"/>
  <c r="R89" i="2"/>
  <c r="R85" i="2"/>
  <c r="G78" i="2"/>
  <c r="R78" i="2"/>
  <c r="M76" i="2"/>
  <c r="M51" i="2"/>
  <c r="R30" i="2"/>
  <c r="S30" i="2"/>
  <c r="R9" i="2"/>
  <c r="S5" i="2"/>
  <c r="R61" i="2"/>
  <c r="M43" i="2"/>
  <c r="G25" i="2"/>
  <c r="W26" i="2"/>
  <c r="S25" i="2"/>
  <c r="M21" i="2"/>
  <c r="S19" i="2"/>
  <c r="G17" i="2"/>
  <c r="G9" i="2"/>
  <c r="S8" i="2"/>
  <c r="M5" i="2"/>
  <c r="R4" i="2"/>
  <c r="S3" i="2"/>
  <c r="G101" i="2"/>
  <c r="G99" i="2"/>
  <c r="G97" i="2"/>
  <c r="G95" i="2"/>
  <c r="G93" i="2"/>
  <c r="R87" i="2"/>
  <c r="G81" i="2"/>
  <c r="S51" i="2"/>
  <c r="G40" i="2"/>
  <c r="R40" i="2"/>
  <c r="S40" i="2"/>
  <c r="G77" i="2"/>
  <c r="G75" i="2"/>
  <c r="G73" i="2"/>
  <c r="M72" i="2"/>
  <c r="G71" i="2"/>
  <c r="M70" i="2"/>
  <c r="G69" i="2"/>
  <c r="M68" i="2"/>
  <c r="G67" i="2"/>
  <c r="M66" i="2"/>
  <c r="G64" i="2"/>
  <c r="R62" i="2"/>
  <c r="R58" i="2"/>
  <c r="G57" i="2"/>
  <c r="M53" i="2"/>
  <c r="S52" i="2"/>
  <c r="M49" i="2"/>
  <c r="M48" i="2"/>
  <c r="G47" i="2"/>
  <c r="M46" i="2"/>
  <c r="G45" i="2"/>
  <c r="G42" i="2"/>
  <c r="M39" i="2"/>
  <c r="M38" i="2"/>
  <c r="S37" i="2"/>
  <c r="M37" i="2"/>
  <c r="M36" i="2"/>
  <c r="G34" i="2"/>
  <c r="R31" i="2"/>
  <c r="G79" i="2"/>
  <c r="G76" i="2"/>
  <c r="G74" i="2"/>
  <c r="G72" i="2"/>
  <c r="G70" i="2"/>
  <c r="G68" i="2"/>
  <c r="G66" i="2"/>
  <c r="G61" i="2"/>
  <c r="G60" i="2"/>
  <c r="S49" i="2"/>
  <c r="G46" i="2"/>
  <c r="S44" i="2"/>
  <c r="G41" i="2"/>
  <c r="G38" i="2"/>
  <c r="G36" i="2"/>
  <c r="G30" i="2"/>
  <c r="G29" i="2"/>
  <c r="G82" i="2"/>
  <c r="S81" i="2"/>
  <c r="G83" i="2"/>
  <c r="S79" i="2"/>
  <c r="G80" i="2"/>
  <c r="S77" i="2"/>
  <c r="M65" i="2"/>
  <c r="M63" i="2"/>
  <c r="S62" i="2"/>
  <c r="M61" i="2"/>
  <c r="S60" i="2"/>
  <c r="M59" i="2"/>
  <c r="S58" i="2"/>
  <c r="M57" i="2"/>
  <c r="S56" i="2"/>
  <c r="M55" i="2"/>
  <c r="G53" i="2"/>
  <c r="G52" i="2"/>
  <c r="G54" i="2"/>
  <c r="G48" i="2"/>
  <c r="G50" i="2"/>
  <c r="S28" i="2"/>
  <c r="R28" i="2"/>
  <c r="G26" i="2"/>
  <c r="G14" i="2"/>
  <c r="G12" i="2"/>
  <c r="G10" i="2"/>
  <c r="G8" i="2"/>
  <c r="G22" i="2"/>
  <c r="S21" i="2"/>
  <c r="G18" i="2"/>
  <c r="S17" i="2"/>
  <c r="S26" i="2"/>
  <c r="M25" i="2"/>
  <c r="S22" i="2"/>
  <c r="S18" i="2"/>
  <c r="S14" i="2"/>
  <c r="G24" i="2"/>
  <c r="R22" i="2"/>
  <c r="G20" i="2"/>
  <c r="R18" i="2"/>
  <c r="G16" i="2"/>
  <c r="R14" i="2"/>
  <c r="B2" i="2"/>
  <c r="F2" i="2"/>
  <c r="E2" i="2"/>
  <c r="C2" i="2"/>
  <c r="N2" i="2" s="1"/>
  <c r="P2" i="2" s="1"/>
  <c r="V102" i="2" l="1"/>
  <c r="W3" i="2"/>
  <c r="G2" i="2"/>
  <c r="S2" i="2"/>
  <c r="W2" i="2"/>
  <c r="R2" i="2"/>
  <c r="M2" i="2"/>
  <c r="W102" i="2" l="1"/>
  <c r="X103" i="2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2" i="1"/>
  <c r="Y100" i="1" l="1"/>
  <c r="Y96" i="1"/>
  <c r="Y92" i="1"/>
  <c r="Y88" i="1"/>
  <c r="Y84" i="1"/>
  <c r="Y80" i="1"/>
  <c r="Y76" i="1"/>
  <c r="Y72" i="1"/>
  <c r="Y68" i="1"/>
  <c r="Y64" i="1"/>
  <c r="Y60" i="1"/>
  <c r="Y56" i="1"/>
  <c r="Y52" i="1"/>
  <c r="Y48" i="1"/>
  <c r="Y44" i="1"/>
  <c r="Y40" i="1"/>
  <c r="Y36" i="1"/>
  <c r="Y32" i="1"/>
  <c r="Y28" i="1"/>
  <c r="Y24" i="1"/>
  <c r="Y99" i="1"/>
  <c r="Y95" i="1"/>
  <c r="Y91" i="1"/>
  <c r="Y87" i="1"/>
  <c r="Y83" i="1"/>
  <c r="Y79" i="1"/>
  <c r="Y75" i="1"/>
  <c r="Y71" i="1"/>
  <c r="Y67" i="1"/>
  <c r="Y63" i="1"/>
  <c r="Y59" i="1"/>
  <c r="Y55" i="1"/>
  <c r="Y51" i="1"/>
  <c r="Y47" i="1"/>
  <c r="Y43" i="1"/>
  <c r="Y39" i="1"/>
  <c r="Y35" i="1"/>
  <c r="Y31" i="1"/>
  <c r="Y27" i="1"/>
  <c r="Y23" i="1"/>
  <c r="Y19" i="1"/>
  <c r="Y15" i="1"/>
  <c r="Y11" i="1"/>
  <c r="Y7" i="1"/>
  <c r="Y3" i="1"/>
  <c r="Y98" i="1"/>
  <c r="Y94" i="1"/>
  <c r="Y90" i="1"/>
  <c r="Y86" i="1"/>
  <c r="Y82" i="1"/>
  <c r="Y78" i="1"/>
  <c r="Y74" i="1"/>
  <c r="Y70" i="1"/>
  <c r="Y66" i="1"/>
  <c r="Y62" i="1"/>
  <c r="Y58" i="1"/>
  <c r="Y54" i="1"/>
  <c r="Y50" i="1"/>
  <c r="Y46" i="1"/>
  <c r="Y42" i="1"/>
  <c r="Y38" i="1"/>
  <c r="Y34" i="1"/>
  <c r="Y30" i="1"/>
  <c r="Y26" i="1"/>
  <c r="Y22" i="1"/>
  <c r="Y18" i="1"/>
  <c r="Y14" i="1"/>
  <c r="Y10" i="1"/>
  <c r="Y6" i="1"/>
  <c r="Y101" i="1"/>
  <c r="Y97" i="1"/>
  <c r="Y93" i="1"/>
  <c r="Y89" i="1"/>
  <c r="Y85" i="1"/>
  <c r="Y81" i="1"/>
  <c r="Y77" i="1"/>
  <c r="Y73" i="1"/>
  <c r="Y69" i="1"/>
  <c r="Y65" i="1"/>
  <c r="Y61" i="1"/>
  <c r="Y57" i="1"/>
  <c r="Y53" i="1"/>
  <c r="Y49" i="1"/>
  <c r="Y45" i="1"/>
  <c r="Y41" i="1"/>
  <c r="Y37" i="1"/>
  <c r="Y33" i="1"/>
  <c r="Y29" i="1"/>
  <c r="Y25" i="1"/>
  <c r="Y21" i="1"/>
  <c r="Y17" i="1"/>
  <c r="Y13" i="1"/>
  <c r="Y9" i="1"/>
  <c r="Y5" i="1"/>
  <c r="Y20" i="1"/>
  <c r="Y16" i="1"/>
  <c r="Y12" i="1"/>
  <c r="Y8" i="1"/>
  <c r="Y4" i="1"/>
  <c r="Y2" i="1"/>
  <c r="S6" i="1"/>
  <c r="T6" i="1" s="1"/>
  <c r="S94" i="1"/>
  <c r="T94" i="1" s="1"/>
  <c r="S98" i="1"/>
  <c r="T98" i="1" s="1"/>
  <c r="S2" i="1"/>
  <c r="S3" i="1"/>
  <c r="T3" i="1" s="1"/>
  <c r="S4" i="1"/>
  <c r="T4" i="1" s="1"/>
  <c r="S5" i="1"/>
  <c r="T5" i="1" s="1"/>
  <c r="S7" i="1"/>
  <c r="T7" i="1" s="1"/>
  <c r="S8" i="1"/>
  <c r="T8" i="1" s="1"/>
  <c r="S9" i="1"/>
  <c r="T9" i="1" s="1"/>
  <c r="S11" i="1"/>
  <c r="T11" i="1" s="1"/>
  <c r="S12" i="1"/>
  <c r="T12" i="1" s="1"/>
  <c r="S13" i="1"/>
  <c r="T13" i="1" s="1"/>
  <c r="S15" i="1"/>
  <c r="T15" i="1" s="1"/>
  <c r="S16" i="1"/>
  <c r="T16" i="1" s="1"/>
  <c r="S17" i="1"/>
  <c r="T17" i="1" s="1"/>
  <c r="S19" i="1"/>
  <c r="T19" i="1" s="1"/>
  <c r="S20" i="1"/>
  <c r="T20" i="1" s="1"/>
  <c r="S21" i="1"/>
  <c r="T21" i="1" s="1"/>
  <c r="S23" i="1"/>
  <c r="T23" i="1" s="1"/>
  <c r="S24" i="1"/>
  <c r="T24" i="1" s="1"/>
  <c r="S25" i="1"/>
  <c r="T25" i="1" s="1"/>
  <c r="S27" i="1"/>
  <c r="T27" i="1" s="1"/>
  <c r="S28" i="1"/>
  <c r="T28" i="1" s="1"/>
  <c r="S29" i="1"/>
  <c r="T29" i="1" s="1"/>
  <c r="S31" i="1"/>
  <c r="T31" i="1" s="1"/>
  <c r="S32" i="1"/>
  <c r="T32" i="1" s="1"/>
  <c r="S33" i="1"/>
  <c r="T33" i="1" s="1"/>
  <c r="S35" i="1"/>
  <c r="T35" i="1" s="1"/>
  <c r="S36" i="1"/>
  <c r="T36" i="1" s="1"/>
  <c r="S37" i="1"/>
  <c r="T37" i="1" s="1"/>
  <c r="S39" i="1"/>
  <c r="T39" i="1" s="1"/>
  <c r="S40" i="1"/>
  <c r="T40" i="1" s="1"/>
  <c r="S41" i="1"/>
  <c r="T41" i="1" s="1"/>
  <c r="S43" i="1"/>
  <c r="T43" i="1" s="1"/>
  <c r="S44" i="1"/>
  <c r="T44" i="1" s="1"/>
  <c r="S45" i="1"/>
  <c r="T45" i="1" s="1"/>
  <c r="S47" i="1"/>
  <c r="T47" i="1" s="1"/>
  <c r="S48" i="1"/>
  <c r="T48" i="1" s="1"/>
  <c r="S50" i="1"/>
  <c r="T50" i="1" s="1"/>
  <c r="S51" i="1"/>
  <c r="T51" i="1" s="1"/>
  <c r="S52" i="1"/>
  <c r="T52" i="1" s="1"/>
  <c r="S54" i="1"/>
  <c r="T54" i="1" s="1"/>
  <c r="S55" i="1"/>
  <c r="T55" i="1" s="1"/>
  <c r="S56" i="1"/>
  <c r="T56" i="1" s="1"/>
  <c r="S58" i="1"/>
  <c r="T58" i="1" s="1"/>
  <c r="S59" i="1"/>
  <c r="T59" i="1" s="1"/>
  <c r="S60" i="1"/>
  <c r="T60" i="1" s="1"/>
  <c r="S62" i="1"/>
  <c r="T62" i="1" s="1"/>
  <c r="S63" i="1"/>
  <c r="T63" i="1" s="1"/>
  <c r="S64" i="1"/>
  <c r="T64" i="1" s="1"/>
  <c r="S66" i="1"/>
  <c r="T66" i="1" s="1"/>
  <c r="S67" i="1"/>
  <c r="T67" i="1" s="1"/>
  <c r="S68" i="1"/>
  <c r="T68" i="1" s="1"/>
  <c r="S70" i="1"/>
  <c r="T70" i="1" s="1"/>
  <c r="S71" i="1"/>
  <c r="T71" i="1" s="1"/>
  <c r="S72" i="1"/>
  <c r="T72" i="1" s="1"/>
  <c r="S74" i="1"/>
  <c r="T74" i="1" s="1"/>
  <c r="S75" i="1"/>
  <c r="T75" i="1" s="1"/>
  <c r="S76" i="1"/>
  <c r="T76" i="1" s="1"/>
  <c r="S78" i="1"/>
  <c r="T78" i="1" s="1"/>
  <c r="S79" i="1"/>
  <c r="T79" i="1" s="1"/>
  <c r="S80" i="1"/>
  <c r="T80" i="1" s="1"/>
  <c r="S82" i="1"/>
  <c r="T82" i="1" s="1"/>
  <c r="S83" i="1"/>
  <c r="T83" i="1" s="1"/>
  <c r="S84" i="1"/>
  <c r="T84" i="1" s="1"/>
  <c r="S86" i="1"/>
  <c r="T86" i="1" s="1"/>
  <c r="S87" i="1"/>
  <c r="T87" i="1" s="1"/>
  <c r="S88" i="1"/>
  <c r="T88" i="1" s="1"/>
  <c r="S90" i="1"/>
  <c r="T90" i="1" s="1"/>
  <c r="S91" i="1"/>
  <c r="T91" i="1" s="1"/>
  <c r="S92" i="1"/>
  <c r="T92" i="1" s="1"/>
  <c r="S95" i="1"/>
  <c r="T95" i="1" s="1"/>
  <c r="S96" i="1"/>
  <c r="T96" i="1" s="1"/>
  <c r="S99" i="1"/>
  <c r="T99" i="1" s="1"/>
  <c r="S100" i="1"/>
  <c r="T100" i="1" s="1"/>
  <c r="O3" i="1"/>
  <c r="D3" i="2" s="1"/>
  <c r="Q3" i="2" s="1"/>
  <c r="O4" i="1"/>
  <c r="D4" i="2" s="1"/>
  <c r="Q4" i="2" s="1"/>
  <c r="O5" i="1"/>
  <c r="D5" i="2" s="1"/>
  <c r="Q5" i="2" s="1"/>
  <c r="O6" i="1"/>
  <c r="D6" i="2" s="1"/>
  <c r="Q6" i="2" s="1"/>
  <c r="O7" i="1"/>
  <c r="D7" i="2" s="1"/>
  <c r="Q7" i="2" s="1"/>
  <c r="O8" i="1"/>
  <c r="D8" i="2" s="1"/>
  <c r="Q8" i="2" s="1"/>
  <c r="O9" i="1"/>
  <c r="D9" i="2" s="1"/>
  <c r="Q9" i="2" s="1"/>
  <c r="O10" i="1"/>
  <c r="D10" i="2" s="1"/>
  <c r="Q10" i="2" s="1"/>
  <c r="O11" i="1"/>
  <c r="D11" i="2" s="1"/>
  <c r="Q11" i="2" s="1"/>
  <c r="O12" i="1"/>
  <c r="D12" i="2" s="1"/>
  <c r="Q12" i="2" s="1"/>
  <c r="O13" i="1"/>
  <c r="D13" i="2" s="1"/>
  <c r="Q13" i="2" s="1"/>
  <c r="O14" i="1"/>
  <c r="D14" i="2" s="1"/>
  <c r="Q14" i="2" s="1"/>
  <c r="O15" i="1"/>
  <c r="D15" i="2" s="1"/>
  <c r="Q15" i="2" s="1"/>
  <c r="O16" i="1"/>
  <c r="D16" i="2" s="1"/>
  <c r="Q16" i="2" s="1"/>
  <c r="O17" i="1"/>
  <c r="D17" i="2" s="1"/>
  <c r="Q17" i="2" s="1"/>
  <c r="O18" i="1"/>
  <c r="D18" i="2" s="1"/>
  <c r="Q18" i="2" s="1"/>
  <c r="O19" i="1"/>
  <c r="D19" i="2" s="1"/>
  <c r="Q19" i="2" s="1"/>
  <c r="O20" i="1"/>
  <c r="D20" i="2" s="1"/>
  <c r="Q20" i="2" s="1"/>
  <c r="O21" i="1"/>
  <c r="D21" i="2" s="1"/>
  <c r="Q21" i="2" s="1"/>
  <c r="O22" i="1"/>
  <c r="D22" i="2" s="1"/>
  <c r="Q22" i="2" s="1"/>
  <c r="O23" i="1"/>
  <c r="D23" i="2" s="1"/>
  <c r="Q23" i="2" s="1"/>
  <c r="O24" i="1"/>
  <c r="D24" i="2" s="1"/>
  <c r="Q24" i="2" s="1"/>
  <c r="O25" i="1"/>
  <c r="D25" i="2" s="1"/>
  <c r="Q25" i="2" s="1"/>
  <c r="O26" i="1"/>
  <c r="D26" i="2" s="1"/>
  <c r="Q26" i="2" s="1"/>
  <c r="O27" i="1"/>
  <c r="D27" i="2" s="1"/>
  <c r="Q27" i="2" s="1"/>
  <c r="O28" i="1"/>
  <c r="D28" i="2" s="1"/>
  <c r="Q28" i="2" s="1"/>
  <c r="O29" i="1"/>
  <c r="D29" i="2" s="1"/>
  <c r="Q29" i="2" s="1"/>
  <c r="O30" i="1"/>
  <c r="D30" i="2" s="1"/>
  <c r="Q30" i="2" s="1"/>
  <c r="O31" i="1"/>
  <c r="D31" i="2" s="1"/>
  <c r="Q31" i="2" s="1"/>
  <c r="O32" i="1"/>
  <c r="D32" i="2" s="1"/>
  <c r="Q32" i="2" s="1"/>
  <c r="O33" i="1"/>
  <c r="D33" i="2" s="1"/>
  <c r="Q33" i="2" s="1"/>
  <c r="O34" i="1"/>
  <c r="D34" i="2" s="1"/>
  <c r="Q34" i="2" s="1"/>
  <c r="O35" i="1"/>
  <c r="D35" i="2" s="1"/>
  <c r="Q35" i="2" s="1"/>
  <c r="O36" i="1"/>
  <c r="D36" i="2" s="1"/>
  <c r="Q36" i="2" s="1"/>
  <c r="O37" i="1"/>
  <c r="D37" i="2" s="1"/>
  <c r="Q37" i="2" s="1"/>
  <c r="O38" i="1"/>
  <c r="D38" i="2" s="1"/>
  <c r="Q38" i="2" s="1"/>
  <c r="O39" i="1"/>
  <c r="D39" i="2" s="1"/>
  <c r="Q39" i="2" s="1"/>
  <c r="O40" i="1"/>
  <c r="D40" i="2" s="1"/>
  <c r="Q40" i="2" s="1"/>
  <c r="O41" i="1"/>
  <c r="D41" i="2" s="1"/>
  <c r="Q41" i="2" s="1"/>
  <c r="O42" i="1"/>
  <c r="D42" i="2" s="1"/>
  <c r="Q42" i="2" s="1"/>
  <c r="O43" i="1"/>
  <c r="D43" i="2" s="1"/>
  <c r="Q43" i="2" s="1"/>
  <c r="O44" i="1"/>
  <c r="O45" i="1"/>
  <c r="D45" i="2" s="1"/>
  <c r="Q45" i="2" s="1"/>
  <c r="O46" i="1"/>
  <c r="D46" i="2" s="1"/>
  <c r="Q46" i="2" s="1"/>
  <c r="O47" i="1"/>
  <c r="D47" i="2" s="1"/>
  <c r="Q47" i="2" s="1"/>
  <c r="O48" i="1"/>
  <c r="D48" i="2" s="1"/>
  <c r="Q48" i="2" s="1"/>
  <c r="O49" i="1"/>
  <c r="D49" i="2" s="1"/>
  <c r="Q49" i="2" s="1"/>
  <c r="O50" i="1"/>
  <c r="D50" i="2" s="1"/>
  <c r="Q50" i="2" s="1"/>
  <c r="O51" i="1"/>
  <c r="D51" i="2" s="1"/>
  <c r="Q51" i="2" s="1"/>
  <c r="O52" i="1"/>
  <c r="D52" i="2" s="1"/>
  <c r="Q52" i="2" s="1"/>
  <c r="O53" i="1"/>
  <c r="D53" i="2" s="1"/>
  <c r="Q53" i="2" s="1"/>
  <c r="O54" i="1"/>
  <c r="D54" i="2" s="1"/>
  <c r="Q54" i="2" s="1"/>
  <c r="O55" i="1"/>
  <c r="D55" i="2" s="1"/>
  <c r="Q55" i="2" s="1"/>
  <c r="O56" i="1"/>
  <c r="D56" i="2" s="1"/>
  <c r="Q56" i="2" s="1"/>
  <c r="O57" i="1"/>
  <c r="D57" i="2" s="1"/>
  <c r="Q57" i="2" s="1"/>
  <c r="O58" i="1"/>
  <c r="D58" i="2" s="1"/>
  <c r="Q58" i="2" s="1"/>
  <c r="O59" i="1"/>
  <c r="D59" i="2" s="1"/>
  <c r="Q59" i="2" s="1"/>
  <c r="O60" i="1"/>
  <c r="D60" i="2" s="1"/>
  <c r="Q60" i="2" s="1"/>
  <c r="O61" i="1"/>
  <c r="D61" i="2" s="1"/>
  <c r="Q61" i="2" s="1"/>
  <c r="O62" i="1"/>
  <c r="D62" i="2" s="1"/>
  <c r="Q62" i="2" s="1"/>
  <c r="O63" i="1"/>
  <c r="D63" i="2" s="1"/>
  <c r="Q63" i="2" s="1"/>
  <c r="O64" i="1"/>
  <c r="D64" i="2" s="1"/>
  <c r="Q64" i="2" s="1"/>
  <c r="O65" i="1"/>
  <c r="D65" i="2" s="1"/>
  <c r="Q65" i="2" s="1"/>
  <c r="O66" i="1"/>
  <c r="D66" i="2" s="1"/>
  <c r="Q66" i="2" s="1"/>
  <c r="O67" i="1"/>
  <c r="D67" i="2" s="1"/>
  <c r="Q67" i="2" s="1"/>
  <c r="O68" i="1"/>
  <c r="D68" i="2" s="1"/>
  <c r="Q68" i="2" s="1"/>
  <c r="O69" i="1"/>
  <c r="D69" i="2" s="1"/>
  <c r="Q69" i="2" s="1"/>
  <c r="O70" i="1"/>
  <c r="D70" i="2" s="1"/>
  <c r="Q70" i="2" s="1"/>
  <c r="O71" i="1"/>
  <c r="D71" i="2" s="1"/>
  <c r="Q71" i="2" s="1"/>
  <c r="O72" i="1"/>
  <c r="D72" i="2" s="1"/>
  <c r="Q72" i="2" s="1"/>
  <c r="O73" i="1"/>
  <c r="D73" i="2" s="1"/>
  <c r="Q73" i="2" s="1"/>
  <c r="O74" i="1"/>
  <c r="D74" i="2" s="1"/>
  <c r="Q74" i="2" s="1"/>
  <c r="O75" i="1"/>
  <c r="D75" i="2" s="1"/>
  <c r="Q75" i="2" s="1"/>
  <c r="O76" i="1"/>
  <c r="D76" i="2" s="1"/>
  <c r="Q76" i="2" s="1"/>
  <c r="O77" i="1"/>
  <c r="D77" i="2" s="1"/>
  <c r="Q77" i="2" s="1"/>
  <c r="O78" i="1"/>
  <c r="D78" i="2" s="1"/>
  <c r="Q78" i="2" s="1"/>
  <c r="O79" i="1"/>
  <c r="D79" i="2" s="1"/>
  <c r="Q79" i="2" s="1"/>
  <c r="O80" i="1"/>
  <c r="D80" i="2" s="1"/>
  <c r="Q80" i="2" s="1"/>
  <c r="O81" i="1"/>
  <c r="D81" i="2" s="1"/>
  <c r="Q81" i="2" s="1"/>
  <c r="O82" i="1"/>
  <c r="D82" i="2" s="1"/>
  <c r="Q82" i="2" s="1"/>
  <c r="O83" i="1"/>
  <c r="D83" i="2" s="1"/>
  <c r="Q83" i="2" s="1"/>
  <c r="O84" i="1"/>
  <c r="D84" i="2" s="1"/>
  <c r="Q84" i="2" s="1"/>
  <c r="O85" i="1"/>
  <c r="D85" i="2" s="1"/>
  <c r="Q85" i="2" s="1"/>
  <c r="O86" i="1"/>
  <c r="O87" i="1"/>
  <c r="D87" i="2" s="1"/>
  <c r="Q87" i="2" s="1"/>
  <c r="O88" i="1"/>
  <c r="D88" i="2" s="1"/>
  <c r="Q88" i="2" s="1"/>
  <c r="O89" i="1"/>
  <c r="D89" i="2" s="1"/>
  <c r="Q89" i="2" s="1"/>
  <c r="O90" i="1"/>
  <c r="D90" i="2" s="1"/>
  <c r="Q90" i="2" s="1"/>
  <c r="O91" i="1"/>
  <c r="D91" i="2" s="1"/>
  <c r="Q91" i="2" s="1"/>
  <c r="O92" i="1"/>
  <c r="D92" i="2" s="1"/>
  <c r="Q92" i="2" s="1"/>
  <c r="O93" i="1"/>
  <c r="D93" i="2" s="1"/>
  <c r="Q93" i="2" s="1"/>
  <c r="O94" i="1"/>
  <c r="D94" i="2" s="1"/>
  <c r="Q94" i="2" s="1"/>
  <c r="O95" i="1"/>
  <c r="D95" i="2" s="1"/>
  <c r="Q95" i="2" s="1"/>
  <c r="O96" i="1"/>
  <c r="D96" i="2" s="1"/>
  <c r="Q96" i="2" s="1"/>
  <c r="O97" i="1"/>
  <c r="D97" i="2" s="1"/>
  <c r="Q97" i="2" s="1"/>
  <c r="O98" i="1"/>
  <c r="D98" i="2" s="1"/>
  <c r="Q98" i="2" s="1"/>
  <c r="O99" i="1"/>
  <c r="D99" i="2" s="1"/>
  <c r="Q99" i="2" s="1"/>
  <c r="O100" i="1"/>
  <c r="D100" i="2" s="1"/>
  <c r="Q100" i="2" s="1"/>
  <c r="O101" i="1"/>
  <c r="D101" i="2" s="1"/>
  <c r="Q101" i="2" s="1"/>
  <c r="M3" i="1"/>
  <c r="N3" i="1" s="1"/>
  <c r="M4" i="1"/>
  <c r="N4" i="1" s="1"/>
  <c r="M5" i="1"/>
  <c r="N5" i="1" s="1"/>
  <c r="M6" i="1"/>
  <c r="M7" i="1"/>
  <c r="N7" i="1" s="1"/>
  <c r="M8" i="1"/>
  <c r="N8" i="1" s="1"/>
  <c r="M9" i="1"/>
  <c r="N9" i="1" s="1"/>
  <c r="M10" i="1"/>
  <c r="N10" i="1" s="1"/>
  <c r="M11" i="1"/>
  <c r="N11" i="1" s="1"/>
  <c r="M12" i="1"/>
  <c r="N12" i="1" s="1"/>
  <c r="M13" i="1"/>
  <c r="N13" i="1" s="1"/>
  <c r="M14" i="1"/>
  <c r="M15" i="1"/>
  <c r="N15" i="1" s="1"/>
  <c r="M16" i="1"/>
  <c r="N16" i="1" s="1"/>
  <c r="M17" i="1"/>
  <c r="N17" i="1" s="1"/>
  <c r="M18" i="1"/>
  <c r="N18" i="1" s="1"/>
  <c r="M19" i="1"/>
  <c r="N19" i="1" s="1"/>
  <c r="M20" i="1"/>
  <c r="N20" i="1" s="1"/>
  <c r="M21" i="1"/>
  <c r="N21" i="1" s="1"/>
  <c r="M22" i="1"/>
  <c r="M23" i="1"/>
  <c r="N23" i="1" s="1"/>
  <c r="M24" i="1"/>
  <c r="N24" i="1" s="1"/>
  <c r="M25" i="1"/>
  <c r="N25" i="1" s="1"/>
  <c r="M26" i="1"/>
  <c r="N26" i="1" s="1"/>
  <c r="M27" i="1"/>
  <c r="N27" i="1" s="1"/>
  <c r="M28" i="1"/>
  <c r="N28" i="1" s="1"/>
  <c r="M29" i="1"/>
  <c r="N29" i="1" s="1"/>
  <c r="M30" i="1"/>
  <c r="N30" i="1" s="1"/>
  <c r="M31" i="1"/>
  <c r="N31" i="1" s="1"/>
  <c r="M32" i="1"/>
  <c r="N32" i="1" s="1"/>
  <c r="M33" i="1"/>
  <c r="N33" i="1" s="1"/>
  <c r="M34" i="1"/>
  <c r="N34" i="1" s="1"/>
  <c r="M35" i="1"/>
  <c r="N35" i="1" s="1"/>
  <c r="M36" i="1"/>
  <c r="N36" i="1" s="1"/>
  <c r="M37" i="1"/>
  <c r="N37" i="1" s="1"/>
  <c r="M38" i="1"/>
  <c r="N38" i="1" s="1"/>
  <c r="M39" i="1"/>
  <c r="N39" i="1" s="1"/>
  <c r="M40" i="1"/>
  <c r="N40" i="1" s="1"/>
  <c r="M41" i="1"/>
  <c r="N41" i="1" s="1"/>
  <c r="M42" i="1"/>
  <c r="N42" i="1" s="1"/>
  <c r="M43" i="1"/>
  <c r="N43" i="1" s="1"/>
  <c r="N44" i="1"/>
  <c r="M45" i="1"/>
  <c r="N45" i="1" s="1"/>
  <c r="M46" i="1"/>
  <c r="N46" i="1" s="1"/>
  <c r="M47" i="1"/>
  <c r="N47" i="1" s="1"/>
  <c r="M48" i="1"/>
  <c r="N48" i="1" s="1"/>
  <c r="M49" i="1"/>
  <c r="N49" i="1" s="1"/>
  <c r="M50" i="1"/>
  <c r="N50" i="1" s="1"/>
  <c r="M51" i="1"/>
  <c r="N51" i="1" s="1"/>
  <c r="M52" i="1"/>
  <c r="N52" i="1" s="1"/>
  <c r="M53" i="1"/>
  <c r="N53" i="1" s="1"/>
  <c r="M54" i="1"/>
  <c r="N54" i="1" s="1"/>
  <c r="M55" i="1"/>
  <c r="N55" i="1" s="1"/>
  <c r="M56" i="1"/>
  <c r="N56" i="1" s="1"/>
  <c r="M57" i="1"/>
  <c r="N57" i="1" s="1"/>
  <c r="M58" i="1"/>
  <c r="N58" i="1" s="1"/>
  <c r="M59" i="1"/>
  <c r="N59" i="1" s="1"/>
  <c r="M60" i="1"/>
  <c r="N60" i="1" s="1"/>
  <c r="M61" i="1"/>
  <c r="N61" i="1" s="1"/>
  <c r="M62" i="1"/>
  <c r="N62" i="1" s="1"/>
  <c r="M63" i="1"/>
  <c r="N63" i="1" s="1"/>
  <c r="M64" i="1"/>
  <c r="N64" i="1" s="1"/>
  <c r="M65" i="1"/>
  <c r="N65" i="1" s="1"/>
  <c r="M66" i="1"/>
  <c r="N66" i="1" s="1"/>
  <c r="M67" i="1"/>
  <c r="N67" i="1" s="1"/>
  <c r="M68" i="1"/>
  <c r="N68" i="1" s="1"/>
  <c r="M69" i="1"/>
  <c r="N69" i="1" s="1"/>
  <c r="M70" i="1"/>
  <c r="N70" i="1" s="1"/>
  <c r="M71" i="1"/>
  <c r="N71" i="1" s="1"/>
  <c r="M72" i="1"/>
  <c r="N72" i="1" s="1"/>
  <c r="M73" i="1"/>
  <c r="N73" i="1" s="1"/>
  <c r="M74" i="1"/>
  <c r="N74" i="1" s="1"/>
  <c r="M75" i="1"/>
  <c r="N75" i="1" s="1"/>
  <c r="M76" i="1"/>
  <c r="N76" i="1" s="1"/>
  <c r="M77" i="1"/>
  <c r="N77" i="1" s="1"/>
  <c r="M78" i="1"/>
  <c r="N78" i="1" s="1"/>
  <c r="M79" i="1"/>
  <c r="N79" i="1" s="1"/>
  <c r="M80" i="1"/>
  <c r="N80" i="1" s="1"/>
  <c r="M81" i="1"/>
  <c r="N81" i="1" s="1"/>
  <c r="M82" i="1"/>
  <c r="N82" i="1" s="1"/>
  <c r="M83" i="1"/>
  <c r="N83" i="1" s="1"/>
  <c r="M84" i="1"/>
  <c r="N84" i="1" s="1"/>
  <c r="M85" i="1"/>
  <c r="N85" i="1" s="1"/>
  <c r="M86" i="1"/>
  <c r="N86" i="1" s="1"/>
  <c r="M87" i="1"/>
  <c r="N87" i="1" s="1"/>
  <c r="M88" i="1"/>
  <c r="N88" i="1" s="1"/>
  <c r="M89" i="1"/>
  <c r="N89" i="1" s="1"/>
  <c r="M90" i="1"/>
  <c r="N90" i="1" s="1"/>
  <c r="M91" i="1"/>
  <c r="N91" i="1" s="1"/>
  <c r="M92" i="1"/>
  <c r="N92" i="1" s="1"/>
  <c r="M93" i="1"/>
  <c r="N93" i="1" s="1"/>
  <c r="M94" i="1"/>
  <c r="N94" i="1" s="1"/>
  <c r="M95" i="1"/>
  <c r="N95" i="1" s="1"/>
  <c r="M96" i="1"/>
  <c r="N96" i="1" s="1"/>
  <c r="M97" i="1"/>
  <c r="N97" i="1" s="1"/>
  <c r="M98" i="1"/>
  <c r="N98" i="1" s="1"/>
  <c r="M99" i="1"/>
  <c r="N99" i="1" s="1"/>
  <c r="M100" i="1"/>
  <c r="N100" i="1" s="1"/>
  <c r="M101" i="1"/>
  <c r="N101" i="1" s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H2" i="5" s="1"/>
  <c r="I45" i="1"/>
  <c r="I46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H86" i="2" s="1"/>
  <c r="O86" i="2" s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2" i="1"/>
  <c r="J2" i="1" s="1"/>
  <c r="M2" i="1"/>
  <c r="N2" i="1" s="1"/>
  <c r="D44" i="2" l="1"/>
  <c r="Q44" i="2" s="1"/>
  <c r="D2" i="5"/>
  <c r="O2" i="5" s="1"/>
  <c r="I2" i="5"/>
  <c r="M2" i="5"/>
  <c r="S2" i="5" s="1"/>
  <c r="X2" i="5" s="1"/>
  <c r="T2" i="1"/>
  <c r="U2" i="1"/>
  <c r="J94" i="1"/>
  <c r="U94" i="1" s="1"/>
  <c r="H94" i="2"/>
  <c r="O94" i="2" s="1"/>
  <c r="J90" i="1"/>
  <c r="U90" i="1" s="1"/>
  <c r="H90" i="2"/>
  <c r="O90" i="2" s="1"/>
  <c r="J82" i="1"/>
  <c r="H82" i="2"/>
  <c r="O82" i="2" s="1"/>
  <c r="J74" i="1"/>
  <c r="U74" i="1" s="1"/>
  <c r="H74" i="2"/>
  <c r="O74" i="2" s="1"/>
  <c r="J62" i="1"/>
  <c r="H62" i="2"/>
  <c r="O62" i="2" s="1"/>
  <c r="J54" i="1"/>
  <c r="U54" i="1" s="1"/>
  <c r="H54" i="2"/>
  <c r="O54" i="2" s="1"/>
  <c r="J43" i="1"/>
  <c r="U43" i="1" s="1"/>
  <c r="H43" i="2"/>
  <c r="O43" i="2" s="1"/>
  <c r="J35" i="1"/>
  <c r="U35" i="1" s="1"/>
  <c r="H35" i="2"/>
  <c r="O35" i="2" s="1"/>
  <c r="J23" i="1"/>
  <c r="U23" i="1" s="1"/>
  <c r="H23" i="2"/>
  <c r="O23" i="2" s="1"/>
  <c r="J7" i="1"/>
  <c r="U7" i="1" s="1"/>
  <c r="H7" i="2"/>
  <c r="O7" i="2" s="1"/>
  <c r="J101" i="1"/>
  <c r="H101" i="2"/>
  <c r="O101" i="2" s="1"/>
  <c r="J97" i="1"/>
  <c r="H97" i="2"/>
  <c r="O97" i="2" s="1"/>
  <c r="J93" i="1"/>
  <c r="H93" i="2"/>
  <c r="O93" i="2" s="1"/>
  <c r="J89" i="1"/>
  <c r="H89" i="2"/>
  <c r="O89" i="2" s="1"/>
  <c r="J85" i="1"/>
  <c r="H85" i="2"/>
  <c r="O85" i="2" s="1"/>
  <c r="J81" i="1"/>
  <c r="H81" i="2"/>
  <c r="O81" i="2" s="1"/>
  <c r="J77" i="1"/>
  <c r="H77" i="2"/>
  <c r="O77" i="2" s="1"/>
  <c r="J73" i="1"/>
  <c r="H73" i="2"/>
  <c r="O73" i="2" s="1"/>
  <c r="J69" i="1"/>
  <c r="H69" i="2"/>
  <c r="O69" i="2" s="1"/>
  <c r="J65" i="1"/>
  <c r="H65" i="2"/>
  <c r="O65" i="2" s="1"/>
  <c r="J61" i="1"/>
  <c r="H61" i="2"/>
  <c r="O61" i="2" s="1"/>
  <c r="J57" i="1"/>
  <c r="H57" i="2"/>
  <c r="O57" i="2" s="1"/>
  <c r="J53" i="1"/>
  <c r="H53" i="2"/>
  <c r="O53" i="2" s="1"/>
  <c r="J49" i="1"/>
  <c r="H49" i="2"/>
  <c r="O49" i="2" s="1"/>
  <c r="J46" i="1"/>
  <c r="H46" i="2"/>
  <c r="O46" i="2" s="1"/>
  <c r="J42" i="1"/>
  <c r="H42" i="2"/>
  <c r="O42" i="2" s="1"/>
  <c r="J38" i="1"/>
  <c r="H38" i="2"/>
  <c r="O38" i="2" s="1"/>
  <c r="J34" i="1"/>
  <c r="H34" i="2"/>
  <c r="O34" i="2" s="1"/>
  <c r="J30" i="1"/>
  <c r="H30" i="2"/>
  <c r="O30" i="2" s="1"/>
  <c r="J26" i="1"/>
  <c r="H26" i="2"/>
  <c r="O26" i="2" s="1"/>
  <c r="J22" i="1"/>
  <c r="H22" i="2"/>
  <c r="O22" i="2" s="1"/>
  <c r="J18" i="1"/>
  <c r="H18" i="2"/>
  <c r="O18" i="2" s="1"/>
  <c r="J14" i="1"/>
  <c r="H14" i="2"/>
  <c r="O14" i="2" s="1"/>
  <c r="J10" i="1"/>
  <c r="H10" i="2"/>
  <c r="O10" i="2" s="1"/>
  <c r="J6" i="1"/>
  <c r="H6" i="2"/>
  <c r="O6" i="2" s="1"/>
  <c r="D2" i="2"/>
  <c r="Q2" i="2" s="1"/>
  <c r="D86" i="2"/>
  <c r="Q86" i="2" s="1"/>
  <c r="J98" i="1"/>
  <c r="U98" i="1" s="1"/>
  <c r="H98" i="2"/>
  <c r="O98" i="2" s="1"/>
  <c r="J96" i="1"/>
  <c r="U96" i="1" s="1"/>
  <c r="H96" i="2"/>
  <c r="O96" i="2" s="1"/>
  <c r="J88" i="1"/>
  <c r="U88" i="1" s="1"/>
  <c r="H88" i="2"/>
  <c r="O88" i="2" s="1"/>
  <c r="J80" i="1"/>
  <c r="U80" i="1" s="1"/>
  <c r="H80" i="2"/>
  <c r="O80" i="2" s="1"/>
  <c r="J72" i="1"/>
  <c r="U72" i="1" s="1"/>
  <c r="H72" i="2"/>
  <c r="O72" i="2" s="1"/>
  <c r="J64" i="1"/>
  <c r="U64" i="1" s="1"/>
  <c r="H64" i="2"/>
  <c r="O64" i="2" s="1"/>
  <c r="J60" i="1"/>
  <c r="U60" i="1" s="1"/>
  <c r="H60" i="2"/>
  <c r="O60" i="2" s="1"/>
  <c r="J56" i="1"/>
  <c r="U56" i="1" s="1"/>
  <c r="H56" i="2"/>
  <c r="O56" i="2" s="1"/>
  <c r="J52" i="1"/>
  <c r="U52" i="1" s="1"/>
  <c r="H52" i="2"/>
  <c r="O52" i="2" s="1"/>
  <c r="J48" i="1"/>
  <c r="U48" i="1" s="1"/>
  <c r="H48" i="2"/>
  <c r="O48" i="2" s="1"/>
  <c r="J45" i="1"/>
  <c r="U45" i="1" s="1"/>
  <c r="H45" i="2"/>
  <c r="O45" i="2" s="1"/>
  <c r="J41" i="1"/>
  <c r="U41" i="1" s="1"/>
  <c r="H41" i="2"/>
  <c r="O41" i="2" s="1"/>
  <c r="J37" i="1"/>
  <c r="U37" i="1" s="1"/>
  <c r="H37" i="2"/>
  <c r="O37" i="2" s="1"/>
  <c r="J33" i="1"/>
  <c r="U33" i="1" s="1"/>
  <c r="H33" i="2"/>
  <c r="O33" i="2" s="1"/>
  <c r="J29" i="1"/>
  <c r="U29" i="1" s="1"/>
  <c r="H29" i="2"/>
  <c r="O29" i="2" s="1"/>
  <c r="J25" i="1"/>
  <c r="U25" i="1" s="1"/>
  <c r="H25" i="2"/>
  <c r="O25" i="2" s="1"/>
  <c r="J21" i="1"/>
  <c r="U21" i="1" s="1"/>
  <c r="H21" i="2"/>
  <c r="O21" i="2" s="1"/>
  <c r="J17" i="1"/>
  <c r="U17" i="1" s="1"/>
  <c r="H17" i="2"/>
  <c r="O17" i="2" s="1"/>
  <c r="J13" i="1"/>
  <c r="U13" i="1" s="1"/>
  <c r="H13" i="2"/>
  <c r="O13" i="2" s="1"/>
  <c r="J9" i="1"/>
  <c r="U9" i="1" s="1"/>
  <c r="H9" i="2"/>
  <c r="O9" i="2" s="1"/>
  <c r="J5" i="1"/>
  <c r="U5" i="1" s="1"/>
  <c r="H5" i="2"/>
  <c r="O5" i="2" s="1"/>
  <c r="J78" i="1"/>
  <c r="U78" i="1" s="1"/>
  <c r="H78" i="2"/>
  <c r="O78" i="2" s="1"/>
  <c r="J70" i="1"/>
  <c r="U70" i="1" s="1"/>
  <c r="H70" i="2"/>
  <c r="O70" i="2" s="1"/>
  <c r="J66" i="1"/>
  <c r="U66" i="1" s="1"/>
  <c r="H66" i="2"/>
  <c r="O66" i="2" s="1"/>
  <c r="J58" i="1"/>
  <c r="U58" i="1" s="1"/>
  <c r="H58" i="2"/>
  <c r="O58" i="2" s="1"/>
  <c r="J50" i="1"/>
  <c r="U50" i="1" s="1"/>
  <c r="H50" i="2"/>
  <c r="O50" i="2" s="1"/>
  <c r="J39" i="1"/>
  <c r="U39" i="1" s="1"/>
  <c r="H39" i="2"/>
  <c r="O39" i="2" s="1"/>
  <c r="J31" i="1"/>
  <c r="U31" i="1" s="1"/>
  <c r="H31" i="2"/>
  <c r="O31" i="2" s="1"/>
  <c r="J27" i="1"/>
  <c r="U27" i="1" s="1"/>
  <c r="H27" i="2"/>
  <c r="O27" i="2" s="1"/>
  <c r="J19" i="1"/>
  <c r="U19" i="1" s="1"/>
  <c r="H19" i="2"/>
  <c r="O19" i="2" s="1"/>
  <c r="J15" i="1"/>
  <c r="U15" i="1" s="1"/>
  <c r="H15" i="2"/>
  <c r="O15" i="2" s="1"/>
  <c r="J11" i="1"/>
  <c r="U11" i="1" s="1"/>
  <c r="H11" i="2"/>
  <c r="O11" i="2" s="1"/>
  <c r="J3" i="1"/>
  <c r="U3" i="1" s="1"/>
  <c r="H3" i="2"/>
  <c r="O3" i="2" s="1"/>
  <c r="J100" i="1"/>
  <c r="U100" i="1" s="1"/>
  <c r="H100" i="2"/>
  <c r="O100" i="2" s="1"/>
  <c r="J92" i="1"/>
  <c r="U92" i="1" s="1"/>
  <c r="H92" i="2"/>
  <c r="O92" i="2" s="1"/>
  <c r="J84" i="1"/>
  <c r="U84" i="1" s="1"/>
  <c r="H84" i="2"/>
  <c r="O84" i="2" s="1"/>
  <c r="J76" i="1"/>
  <c r="U76" i="1" s="1"/>
  <c r="H76" i="2"/>
  <c r="O76" i="2" s="1"/>
  <c r="J68" i="1"/>
  <c r="U68" i="1" s="1"/>
  <c r="H68" i="2"/>
  <c r="O68" i="2" s="1"/>
  <c r="J99" i="1"/>
  <c r="U99" i="1" s="1"/>
  <c r="H99" i="2"/>
  <c r="O99" i="2" s="1"/>
  <c r="J95" i="1"/>
  <c r="U95" i="1" s="1"/>
  <c r="H95" i="2"/>
  <c r="O95" i="2" s="1"/>
  <c r="J91" i="1"/>
  <c r="U91" i="1" s="1"/>
  <c r="H91" i="2"/>
  <c r="O91" i="2" s="1"/>
  <c r="J87" i="1"/>
  <c r="U87" i="1" s="1"/>
  <c r="H87" i="2"/>
  <c r="O87" i="2" s="1"/>
  <c r="J83" i="1"/>
  <c r="U83" i="1" s="1"/>
  <c r="H83" i="2"/>
  <c r="O83" i="2" s="1"/>
  <c r="J79" i="1"/>
  <c r="U79" i="1" s="1"/>
  <c r="H79" i="2"/>
  <c r="O79" i="2" s="1"/>
  <c r="J75" i="1"/>
  <c r="U75" i="1" s="1"/>
  <c r="H75" i="2"/>
  <c r="O75" i="2" s="1"/>
  <c r="J71" i="1"/>
  <c r="U71" i="1" s="1"/>
  <c r="H71" i="2"/>
  <c r="O71" i="2" s="1"/>
  <c r="J67" i="1"/>
  <c r="U67" i="1" s="1"/>
  <c r="H67" i="2"/>
  <c r="O67" i="2" s="1"/>
  <c r="J63" i="1"/>
  <c r="U63" i="1" s="1"/>
  <c r="H63" i="2"/>
  <c r="O63" i="2" s="1"/>
  <c r="J59" i="1"/>
  <c r="U59" i="1" s="1"/>
  <c r="H59" i="2"/>
  <c r="O59" i="2" s="1"/>
  <c r="J55" i="1"/>
  <c r="U55" i="1" s="1"/>
  <c r="H55" i="2"/>
  <c r="O55" i="2" s="1"/>
  <c r="J51" i="1"/>
  <c r="U51" i="1" s="1"/>
  <c r="H51" i="2"/>
  <c r="O51" i="2" s="1"/>
  <c r="J47" i="1"/>
  <c r="U47" i="1" s="1"/>
  <c r="H47" i="2"/>
  <c r="O47" i="2" s="1"/>
  <c r="J44" i="1"/>
  <c r="U44" i="1" s="1"/>
  <c r="H44" i="2"/>
  <c r="O44" i="2" s="1"/>
  <c r="J40" i="1"/>
  <c r="U40" i="1" s="1"/>
  <c r="H40" i="2"/>
  <c r="O40" i="2" s="1"/>
  <c r="J36" i="1"/>
  <c r="U36" i="1" s="1"/>
  <c r="H36" i="2"/>
  <c r="O36" i="2" s="1"/>
  <c r="J32" i="1"/>
  <c r="U32" i="1" s="1"/>
  <c r="H32" i="2"/>
  <c r="O32" i="2" s="1"/>
  <c r="J28" i="1"/>
  <c r="U28" i="1" s="1"/>
  <c r="H28" i="2"/>
  <c r="O28" i="2" s="1"/>
  <c r="J24" i="1"/>
  <c r="U24" i="1" s="1"/>
  <c r="H24" i="2"/>
  <c r="O24" i="2" s="1"/>
  <c r="J20" i="1"/>
  <c r="U20" i="1" s="1"/>
  <c r="H20" i="2"/>
  <c r="O20" i="2" s="1"/>
  <c r="J16" i="1"/>
  <c r="U16" i="1" s="1"/>
  <c r="H16" i="2"/>
  <c r="O16" i="2" s="1"/>
  <c r="J12" i="1"/>
  <c r="U12" i="1" s="1"/>
  <c r="H12" i="2"/>
  <c r="O12" i="2" s="1"/>
  <c r="J8" i="1"/>
  <c r="U8" i="1" s="1"/>
  <c r="H8" i="2"/>
  <c r="O8" i="2" s="1"/>
  <c r="J4" i="1"/>
  <c r="U4" i="1" s="1"/>
  <c r="H4" i="2"/>
  <c r="O4" i="2" s="1"/>
  <c r="J86" i="1"/>
  <c r="U86" i="1" s="1"/>
  <c r="H2" i="2"/>
  <c r="O2" i="2" s="1"/>
  <c r="S89" i="1"/>
  <c r="T89" i="1" s="1"/>
  <c r="S77" i="1"/>
  <c r="T77" i="1" s="1"/>
  <c r="S57" i="1"/>
  <c r="S53" i="1"/>
  <c r="S38" i="1"/>
  <c r="T38" i="1" s="1"/>
  <c r="S22" i="1"/>
  <c r="T22" i="1" s="1"/>
  <c r="S18" i="1"/>
  <c r="S14" i="1"/>
  <c r="T14" i="1" s="1"/>
  <c r="S10" i="1"/>
  <c r="T10" i="1" s="1"/>
  <c r="S101" i="1"/>
  <c r="S73" i="1"/>
  <c r="S65" i="1"/>
  <c r="T65" i="1" s="1"/>
  <c r="S49" i="1"/>
  <c r="T49" i="1" s="1"/>
  <c r="S42" i="1"/>
  <c r="S26" i="1"/>
  <c r="S97" i="1"/>
  <c r="T97" i="1" s="1"/>
  <c r="S93" i="1"/>
  <c r="T93" i="1" s="1"/>
  <c r="S85" i="1"/>
  <c r="S69" i="1"/>
  <c r="S34" i="1"/>
  <c r="T34" i="1" s="1"/>
  <c r="S81" i="1"/>
  <c r="T81" i="1" s="1"/>
  <c r="S61" i="1"/>
  <c r="T61" i="1" s="1"/>
  <c r="S46" i="1"/>
  <c r="S30" i="1"/>
  <c r="T30" i="1" s="1"/>
  <c r="P99" i="1"/>
  <c r="I99" i="2" s="1"/>
  <c r="T99" i="2" s="1"/>
  <c r="P91" i="1"/>
  <c r="P83" i="1"/>
  <c r="P75" i="1"/>
  <c r="P67" i="1"/>
  <c r="I67" i="2" s="1"/>
  <c r="T67" i="2" s="1"/>
  <c r="P59" i="1"/>
  <c r="U82" i="1"/>
  <c r="U62" i="1"/>
  <c r="P100" i="1"/>
  <c r="I100" i="2" s="1"/>
  <c r="T100" i="2" s="1"/>
  <c r="P96" i="1"/>
  <c r="I96" i="2" s="1"/>
  <c r="T96" i="2" s="1"/>
  <c r="P92" i="1"/>
  <c r="I92" i="2" s="1"/>
  <c r="T92" i="2" s="1"/>
  <c r="P88" i="1"/>
  <c r="I88" i="2" s="1"/>
  <c r="T88" i="2" s="1"/>
  <c r="P84" i="1"/>
  <c r="I84" i="2" s="1"/>
  <c r="T84" i="2" s="1"/>
  <c r="P80" i="1"/>
  <c r="I80" i="2" s="1"/>
  <c r="T80" i="2" s="1"/>
  <c r="P76" i="1"/>
  <c r="I76" i="2" s="1"/>
  <c r="T76" i="2" s="1"/>
  <c r="P72" i="1"/>
  <c r="I72" i="2" s="1"/>
  <c r="T72" i="2" s="1"/>
  <c r="P68" i="1"/>
  <c r="I68" i="2" s="1"/>
  <c r="T68" i="2" s="1"/>
  <c r="P64" i="1"/>
  <c r="I64" i="2" s="1"/>
  <c r="T64" i="2" s="1"/>
  <c r="P60" i="1"/>
  <c r="I60" i="2" s="1"/>
  <c r="T60" i="2" s="1"/>
  <c r="P56" i="1"/>
  <c r="I56" i="2" s="1"/>
  <c r="T56" i="2" s="1"/>
  <c r="P52" i="1"/>
  <c r="I52" i="2" s="1"/>
  <c r="T52" i="2" s="1"/>
  <c r="P48" i="1"/>
  <c r="I48" i="2" s="1"/>
  <c r="T48" i="2" s="1"/>
  <c r="P45" i="1"/>
  <c r="I45" i="2" s="1"/>
  <c r="T45" i="2" s="1"/>
  <c r="P41" i="1"/>
  <c r="I41" i="2" s="1"/>
  <c r="T41" i="2" s="1"/>
  <c r="P37" i="1"/>
  <c r="I37" i="2" s="1"/>
  <c r="T37" i="2" s="1"/>
  <c r="P33" i="1"/>
  <c r="I33" i="2" s="1"/>
  <c r="T33" i="2" s="1"/>
  <c r="P29" i="1"/>
  <c r="I29" i="2" s="1"/>
  <c r="T29" i="2" s="1"/>
  <c r="P51" i="1"/>
  <c r="P7" i="1"/>
  <c r="I7" i="2" s="1"/>
  <c r="T7" i="2" s="1"/>
  <c r="P101" i="1"/>
  <c r="I101" i="2" s="1"/>
  <c r="T101" i="2" s="1"/>
  <c r="P97" i="1"/>
  <c r="I97" i="2" s="1"/>
  <c r="T97" i="2" s="1"/>
  <c r="P93" i="1"/>
  <c r="I93" i="2" s="1"/>
  <c r="T93" i="2" s="1"/>
  <c r="P89" i="1"/>
  <c r="I89" i="2" s="1"/>
  <c r="T89" i="2" s="1"/>
  <c r="P85" i="1"/>
  <c r="I85" i="2" s="1"/>
  <c r="T85" i="2" s="1"/>
  <c r="P81" i="1"/>
  <c r="I81" i="2" s="1"/>
  <c r="T81" i="2" s="1"/>
  <c r="P77" i="1"/>
  <c r="I77" i="2" s="1"/>
  <c r="T77" i="2" s="1"/>
  <c r="P73" i="1"/>
  <c r="I73" i="2" s="1"/>
  <c r="T73" i="2" s="1"/>
  <c r="P69" i="1"/>
  <c r="I69" i="2" s="1"/>
  <c r="T69" i="2" s="1"/>
  <c r="P65" i="1"/>
  <c r="I65" i="2" s="1"/>
  <c r="T65" i="2" s="1"/>
  <c r="P61" i="1"/>
  <c r="I61" i="2" s="1"/>
  <c r="T61" i="2" s="1"/>
  <c r="P57" i="1"/>
  <c r="I57" i="2" s="1"/>
  <c r="T57" i="2" s="1"/>
  <c r="P53" i="1"/>
  <c r="I53" i="2" s="1"/>
  <c r="T53" i="2" s="1"/>
  <c r="P49" i="1"/>
  <c r="I49" i="2" s="1"/>
  <c r="T49" i="2" s="1"/>
  <c r="P46" i="1"/>
  <c r="I46" i="2" s="1"/>
  <c r="T46" i="2" s="1"/>
  <c r="P42" i="1"/>
  <c r="I42" i="2" s="1"/>
  <c r="T42" i="2" s="1"/>
  <c r="P38" i="1"/>
  <c r="I38" i="2" s="1"/>
  <c r="T38" i="2" s="1"/>
  <c r="P34" i="1"/>
  <c r="I34" i="2" s="1"/>
  <c r="T34" i="2" s="1"/>
  <c r="P30" i="1"/>
  <c r="I30" i="2" s="1"/>
  <c r="T30" i="2" s="1"/>
  <c r="P26" i="1"/>
  <c r="I26" i="2" s="1"/>
  <c r="T26" i="2" s="1"/>
  <c r="P18" i="1"/>
  <c r="I18" i="2" s="1"/>
  <c r="T18" i="2" s="1"/>
  <c r="P10" i="1"/>
  <c r="I10" i="2" s="1"/>
  <c r="T10" i="2" s="1"/>
  <c r="P95" i="1"/>
  <c r="I95" i="2" s="1"/>
  <c r="T95" i="2" s="1"/>
  <c r="P87" i="1"/>
  <c r="I87" i="2" s="1"/>
  <c r="T87" i="2" s="1"/>
  <c r="P79" i="1"/>
  <c r="I79" i="2" s="1"/>
  <c r="T79" i="2" s="1"/>
  <c r="P71" i="1"/>
  <c r="I71" i="2" s="1"/>
  <c r="T71" i="2" s="1"/>
  <c r="P63" i="1"/>
  <c r="I63" i="2" s="1"/>
  <c r="T63" i="2" s="1"/>
  <c r="P55" i="1"/>
  <c r="I55" i="2" s="1"/>
  <c r="T55" i="2" s="1"/>
  <c r="P47" i="1"/>
  <c r="I47" i="2" s="1"/>
  <c r="T47" i="2" s="1"/>
  <c r="P44" i="1"/>
  <c r="I44" i="2" s="1"/>
  <c r="T44" i="2" s="1"/>
  <c r="P40" i="1"/>
  <c r="P36" i="1"/>
  <c r="I36" i="2" s="1"/>
  <c r="T36" i="2" s="1"/>
  <c r="P32" i="1"/>
  <c r="I32" i="2" s="1"/>
  <c r="T32" i="2" s="1"/>
  <c r="P28" i="1"/>
  <c r="I28" i="2" s="1"/>
  <c r="T28" i="2" s="1"/>
  <c r="P24" i="1"/>
  <c r="P20" i="1"/>
  <c r="I20" i="2" s="1"/>
  <c r="T20" i="2" s="1"/>
  <c r="P16" i="1"/>
  <c r="I16" i="2" s="1"/>
  <c r="T16" i="2" s="1"/>
  <c r="P12" i="1"/>
  <c r="I12" i="2" s="1"/>
  <c r="T12" i="2" s="1"/>
  <c r="P8" i="1"/>
  <c r="P4" i="1"/>
  <c r="I4" i="2" s="1"/>
  <c r="T4" i="2" s="1"/>
  <c r="P23" i="1"/>
  <c r="I23" i="2" s="1"/>
  <c r="T23" i="2" s="1"/>
  <c r="P15" i="1"/>
  <c r="I15" i="2" s="1"/>
  <c r="T15" i="2" s="1"/>
  <c r="N22" i="1"/>
  <c r="P22" i="1"/>
  <c r="I22" i="2" s="1"/>
  <c r="T22" i="2" s="1"/>
  <c r="N14" i="1"/>
  <c r="P14" i="1"/>
  <c r="I14" i="2" s="1"/>
  <c r="T14" i="2" s="1"/>
  <c r="N6" i="1"/>
  <c r="P6" i="1"/>
  <c r="I6" i="2" s="1"/>
  <c r="T6" i="2" s="1"/>
  <c r="P2" i="1"/>
  <c r="P98" i="1"/>
  <c r="I98" i="2" s="1"/>
  <c r="T98" i="2" s="1"/>
  <c r="P94" i="1"/>
  <c r="I94" i="2" s="1"/>
  <c r="T94" i="2" s="1"/>
  <c r="P90" i="1"/>
  <c r="I90" i="2" s="1"/>
  <c r="T90" i="2" s="1"/>
  <c r="P86" i="1"/>
  <c r="P82" i="1"/>
  <c r="I82" i="2" s="1"/>
  <c r="T82" i="2" s="1"/>
  <c r="P78" i="1"/>
  <c r="I78" i="2" s="1"/>
  <c r="T78" i="2" s="1"/>
  <c r="P74" i="1"/>
  <c r="I74" i="2" s="1"/>
  <c r="T74" i="2" s="1"/>
  <c r="P70" i="1"/>
  <c r="I70" i="2" s="1"/>
  <c r="T70" i="2" s="1"/>
  <c r="P66" i="1"/>
  <c r="I66" i="2" s="1"/>
  <c r="T66" i="2" s="1"/>
  <c r="P62" i="1"/>
  <c r="I62" i="2" s="1"/>
  <c r="T62" i="2" s="1"/>
  <c r="P58" i="1"/>
  <c r="I58" i="2" s="1"/>
  <c r="T58" i="2" s="1"/>
  <c r="P54" i="1"/>
  <c r="I54" i="2" s="1"/>
  <c r="T54" i="2" s="1"/>
  <c r="P50" i="1"/>
  <c r="I50" i="2" s="1"/>
  <c r="T50" i="2" s="1"/>
  <c r="P43" i="1"/>
  <c r="I43" i="2" s="1"/>
  <c r="T43" i="2" s="1"/>
  <c r="P39" i="1"/>
  <c r="I39" i="2" s="1"/>
  <c r="T39" i="2" s="1"/>
  <c r="P35" i="1"/>
  <c r="I35" i="2" s="1"/>
  <c r="T35" i="2" s="1"/>
  <c r="P31" i="1"/>
  <c r="I31" i="2" s="1"/>
  <c r="T31" i="2" s="1"/>
  <c r="P27" i="1"/>
  <c r="I27" i="2" s="1"/>
  <c r="T27" i="2" s="1"/>
  <c r="P19" i="1"/>
  <c r="I19" i="2" s="1"/>
  <c r="T19" i="2" s="1"/>
  <c r="P11" i="1"/>
  <c r="I11" i="2" s="1"/>
  <c r="T11" i="2" s="1"/>
  <c r="P3" i="1"/>
  <c r="I3" i="2" s="1"/>
  <c r="T3" i="2" s="1"/>
  <c r="P25" i="1"/>
  <c r="I25" i="2" s="1"/>
  <c r="T25" i="2" s="1"/>
  <c r="P21" i="1"/>
  <c r="I21" i="2" s="1"/>
  <c r="T21" i="2" s="1"/>
  <c r="P17" i="1"/>
  <c r="I17" i="2" s="1"/>
  <c r="T17" i="2" s="1"/>
  <c r="P13" i="1"/>
  <c r="I13" i="2" s="1"/>
  <c r="T13" i="2" s="1"/>
  <c r="P9" i="1"/>
  <c r="I9" i="2" s="1"/>
  <c r="T9" i="2" s="1"/>
  <c r="P5" i="1"/>
  <c r="I5" i="2" s="1"/>
  <c r="T5" i="2" s="1"/>
  <c r="R2" i="5" l="1"/>
  <c r="U89" i="1"/>
  <c r="U81" i="1"/>
  <c r="U6" i="1"/>
  <c r="U38" i="1"/>
  <c r="U93" i="1"/>
  <c r="U49" i="1"/>
  <c r="U10" i="1"/>
  <c r="U65" i="1"/>
  <c r="U30" i="1"/>
  <c r="Q67" i="1"/>
  <c r="Q99" i="1"/>
  <c r="J99" i="2" s="1"/>
  <c r="U99" i="2" s="1"/>
  <c r="X99" i="2" s="1"/>
  <c r="Q36" i="1"/>
  <c r="Q75" i="1"/>
  <c r="I75" i="2"/>
  <c r="T75" i="2" s="1"/>
  <c r="I2" i="2"/>
  <c r="T2" i="2" s="1"/>
  <c r="I86" i="2"/>
  <c r="T86" i="2" s="1"/>
  <c r="U14" i="1"/>
  <c r="J67" i="2"/>
  <c r="U67" i="2" s="1"/>
  <c r="X67" i="2" s="1"/>
  <c r="U34" i="1"/>
  <c r="U77" i="1"/>
  <c r="U97" i="1"/>
  <c r="Q83" i="1"/>
  <c r="I83" i="2"/>
  <c r="T83" i="2" s="1"/>
  <c r="Q59" i="1"/>
  <c r="I59" i="2"/>
  <c r="T59" i="2" s="1"/>
  <c r="Q8" i="1"/>
  <c r="I8" i="2"/>
  <c r="T8" i="2" s="1"/>
  <c r="Q24" i="1"/>
  <c r="I24" i="2"/>
  <c r="T24" i="2" s="1"/>
  <c r="Q40" i="1"/>
  <c r="I40" i="2"/>
  <c r="T40" i="2" s="1"/>
  <c r="Q51" i="1"/>
  <c r="I51" i="2"/>
  <c r="T51" i="2" s="1"/>
  <c r="Q91" i="1"/>
  <c r="I91" i="2"/>
  <c r="T91" i="2" s="1"/>
  <c r="U61" i="1"/>
  <c r="U46" i="1"/>
  <c r="T46" i="1"/>
  <c r="V46" i="1" s="1"/>
  <c r="U69" i="1"/>
  <c r="T69" i="1"/>
  <c r="U26" i="1"/>
  <c r="T26" i="1"/>
  <c r="U73" i="1"/>
  <c r="T73" i="1"/>
  <c r="U18" i="1"/>
  <c r="T18" i="1"/>
  <c r="U57" i="1"/>
  <c r="T57" i="1"/>
  <c r="U85" i="1"/>
  <c r="T85" i="1"/>
  <c r="U42" i="1"/>
  <c r="T42" i="1"/>
  <c r="U101" i="1"/>
  <c r="T101" i="1"/>
  <c r="U53" i="1"/>
  <c r="T53" i="1"/>
  <c r="U22" i="1"/>
  <c r="Q16" i="1"/>
  <c r="Q35" i="1"/>
  <c r="Q78" i="1"/>
  <c r="Q79" i="1"/>
  <c r="Q49" i="1"/>
  <c r="Q81" i="1"/>
  <c r="Q7" i="1"/>
  <c r="Q92" i="1"/>
  <c r="Q5" i="1"/>
  <c r="Q21" i="1"/>
  <c r="Q19" i="1"/>
  <c r="Q39" i="1"/>
  <c r="Q50" i="1"/>
  <c r="Q66" i="1"/>
  <c r="Q82" i="1"/>
  <c r="Q98" i="1"/>
  <c r="Q14" i="1"/>
  <c r="Q4" i="1"/>
  <c r="Q20" i="1"/>
  <c r="Q55" i="1"/>
  <c r="Q87" i="1"/>
  <c r="Q26" i="1"/>
  <c r="Q42" i="1"/>
  <c r="Q53" i="1"/>
  <c r="Q69" i="1"/>
  <c r="Q85" i="1"/>
  <c r="Q101" i="1"/>
  <c r="Q37" i="1"/>
  <c r="Q48" i="1"/>
  <c r="Q64" i="1"/>
  <c r="Q80" i="1"/>
  <c r="Q96" i="1"/>
  <c r="Q17" i="1"/>
  <c r="Q94" i="1"/>
  <c r="Q18" i="1"/>
  <c r="Q97" i="1"/>
  <c r="Q76" i="1"/>
  <c r="Q25" i="1"/>
  <c r="Q43" i="1"/>
  <c r="Q70" i="1"/>
  <c r="Q2" i="1"/>
  <c r="Q15" i="1"/>
  <c r="Q44" i="1"/>
  <c r="Q63" i="1"/>
  <c r="Q95" i="1"/>
  <c r="Q30" i="1"/>
  <c r="Q46" i="1"/>
  <c r="Q57" i="1"/>
  <c r="Q73" i="1"/>
  <c r="Q89" i="1"/>
  <c r="Q41" i="1"/>
  <c r="Q52" i="1"/>
  <c r="Q68" i="1"/>
  <c r="Q84" i="1"/>
  <c r="Q100" i="1"/>
  <c r="Q11" i="1"/>
  <c r="Q62" i="1"/>
  <c r="Q47" i="1"/>
  <c r="Q38" i="1"/>
  <c r="Q65" i="1"/>
  <c r="Q33" i="1"/>
  <c r="Q60" i="1"/>
  <c r="Q9" i="1"/>
  <c r="Q27" i="1"/>
  <c r="Q54" i="1"/>
  <c r="Q86" i="1"/>
  <c r="Q13" i="1"/>
  <c r="Q3" i="1"/>
  <c r="Q31" i="1"/>
  <c r="Q58" i="1"/>
  <c r="Q74" i="1"/>
  <c r="Q90" i="1"/>
  <c r="Q6" i="1"/>
  <c r="Q22" i="1"/>
  <c r="Q12" i="1"/>
  <c r="Q28" i="1"/>
  <c r="Q23" i="1"/>
  <c r="Q32" i="1"/>
  <c r="Q71" i="1"/>
  <c r="Q10" i="1"/>
  <c r="Q34" i="1"/>
  <c r="Q61" i="1"/>
  <c r="Q77" i="1"/>
  <c r="Q93" i="1"/>
  <c r="Q29" i="1"/>
  <c r="Q45" i="1"/>
  <c r="Q56" i="1"/>
  <c r="Q72" i="1"/>
  <c r="Q88" i="1"/>
  <c r="Y2" i="5" l="1"/>
  <c r="T2" i="5"/>
  <c r="V2" i="1"/>
  <c r="V51" i="1"/>
  <c r="V97" i="1"/>
  <c r="W97" i="1" s="1"/>
  <c r="V8" i="1"/>
  <c r="W8" i="1" s="1"/>
  <c r="V49" i="1"/>
  <c r="V91" i="1"/>
  <c r="V30" i="1"/>
  <c r="W30" i="1" s="1"/>
  <c r="V24" i="1"/>
  <c r="W24" i="1" s="1"/>
  <c r="V59" i="1"/>
  <c r="V75" i="1"/>
  <c r="V53" i="1"/>
  <c r="W53" i="1" s="1"/>
  <c r="V42" i="1"/>
  <c r="W42" i="1" s="1"/>
  <c r="V57" i="1"/>
  <c r="V69" i="1"/>
  <c r="W69" i="1" s="1"/>
  <c r="V101" i="1"/>
  <c r="W101" i="1" s="1"/>
  <c r="V28" i="1"/>
  <c r="W28" i="1" s="1"/>
  <c r="V90" i="1"/>
  <c r="W90" i="1" s="1"/>
  <c r="V31" i="1"/>
  <c r="W31" i="1" s="1"/>
  <c r="V54" i="1"/>
  <c r="W54" i="1" s="1"/>
  <c r="V33" i="1"/>
  <c r="W33" i="1" s="1"/>
  <c r="V62" i="1"/>
  <c r="W62" i="1" s="1"/>
  <c r="V68" i="1"/>
  <c r="W68" i="1" s="1"/>
  <c r="V95" i="1"/>
  <c r="W95" i="1" s="1"/>
  <c r="V76" i="1"/>
  <c r="W76" i="1" s="1"/>
  <c r="V64" i="1"/>
  <c r="W64" i="1" s="1"/>
  <c r="V66" i="1"/>
  <c r="V21" i="1"/>
  <c r="W21" i="1" s="1"/>
  <c r="V78" i="1"/>
  <c r="V73" i="1"/>
  <c r="V10" i="1"/>
  <c r="V45" i="1"/>
  <c r="W45" i="1" s="1"/>
  <c r="V71" i="1"/>
  <c r="W71" i="1" s="1"/>
  <c r="V12" i="1"/>
  <c r="V74" i="1"/>
  <c r="W74" i="1" s="1"/>
  <c r="V3" i="1"/>
  <c r="W3" i="1" s="1"/>
  <c r="V27" i="1"/>
  <c r="W27" i="1" s="1"/>
  <c r="V11" i="1"/>
  <c r="V52" i="1"/>
  <c r="W52" i="1" s="1"/>
  <c r="V63" i="1"/>
  <c r="W63" i="1" s="1"/>
  <c r="V70" i="1"/>
  <c r="W70" i="1" s="1"/>
  <c r="V17" i="1"/>
  <c r="V48" i="1"/>
  <c r="W48" i="1" s="1"/>
  <c r="V87" i="1"/>
  <c r="W87" i="1" s="1"/>
  <c r="V50" i="1"/>
  <c r="W50" i="1" s="1"/>
  <c r="V5" i="1"/>
  <c r="V35" i="1"/>
  <c r="W35" i="1" s="1"/>
  <c r="V36" i="1"/>
  <c r="W36" i="1" s="1"/>
  <c r="V77" i="1"/>
  <c r="W77" i="1" s="1"/>
  <c r="V81" i="1"/>
  <c r="W81" i="1" s="1"/>
  <c r="V93" i="1"/>
  <c r="W93" i="1" s="1"/>
  <c r="V58" i="1"/>
  <c r="W58" i="1" s="1"/>
  <c r="V44" i="1"/>
  <c r="W44" i="1" s="1"/>
  <c r="V96" i="1"/>
  <c r="V98" i="1"/>
  <c r="W98" i="1" s="1"/>
  <c r="V18" i="1"/>
  <c r="W18" i="1" s="1"/>
  <c r="V26" i="1"/>
  <c r="W26" i="1" s="1"/>
  <c r="V40" i="1"/>
  <c r="W40" i="1" s="1"/>
  <c r="V83" i="1"/>
  <c r="W83" i="1" s="1"/>
  <c r="V99" i="1"/>
  <c r="W99" i="1" s="1"/>
  <c r="V22" i="1"/>
  <c r="V14" i="1"/>
  <c r="W14" i="1" s="1"/>
  <c r="V65" i="1"/>
  <c r="W65" i="1" s="1"/>
  <c r="V56" i="1"/>
  <c r="W56" i="1" s="1"/>
  <c r="V4" i="1"/>
  <c r="V7" i="1"/>
  <c r="W7" i="1" s="1"/>
  <c r="V88" i="1"/>
  <c r="W88" i="1" s="1"/>
  <c r="V29" i="1"/>
  <c r="W29" i="1" s="1"/>
  <c r="V32" i="1"/>
  <c r="V13" i="1"/>
  <c r="W13" i="1" s="1"/>
  <c r="V9" i="1"/>
  <c r="W9" i="1" s="1"/>
  <c r="V100" i="1"/>
  <c r="W100" i="1" s="1"/>
  <c r="V41" i="1"/>
  <c r="V43" i="1"/>
  <c r="W43" i="1" s="1"/>
  <c r="V37" i="1"/>
  <c r="W37" i="1" s="1"/>
  <c r="V55" i="1"/>
  <c r="W55" i="1" s="1"/>
  <c r="V39" i="1"/>
  <c r="V92" i="1"/>
  <c r="W92" i="1" s="1"/>
  <c r="V16" i="1"/>
  <c r="W16" i="1" s="1"/>
  <c r="V85" i="1"/>
  <c r="V72" i="1"/>
  <c r="W72" i="1" s="1"/>
  <c r="V23" i="1"/>
  <c r="W23" i="1" s="1"/>
  <c r="V6" i="1"/>
  <c r="W6" i="1" s="1"/>
  <c r="V86" i="1"/>
  <c r="W86" i="1" s="1"/>
  <c r="V60" i="1"/>
  <c r="W60" i="1" s="1"/>
  <c r="V47" i="1"/>
  <c r="W47" i="1" s="1"/>
  <c r="V84" i="1"/>
  <c r="W84" i="1" s="1"/>
  <c r="V15" i="1"/>
  <c r="W15" i="1" s="1"/>
  <c r="V25" i="1"/>
  <c r="V94" i="1"/>
  <c r="V80" i="1"/>
  <c r="W80" i="1" s="1"/>
  <c r="V20" i="1"/>
  <c r="W20" i="1" s="1"/>
  <c r="V82" i="1"/>
  <c r="W82" i="1" s="1"/>
  <c r="V19" i="1"/>
  <c r="W19" i="1" s="1"/>
  <c r="V79" i="1"/>
  <c r="W79" i="1" s="1"/>
  <c r="V67" i="1"/>
  <c r="W67" i="1" s="1"/>
  <c r="V61" i="1"/>
  <c r="V89" i="1"/>
  <c r="W89" i="1" s="1"/>
  <c r="V34" i="1"/>
  <c r="W34" i="1" s="1"/>
  <c r="V38" i="1"/>
  <c r="W38" i="1" s="1"/>
  <c r="J36" i="2"/>
  <c r="U36" i="2" s="1"/>
  <c r="X36" i="2" s="1"/>
  <c r="AB2" i="1"/>
  <c r="AC2" i="1" s="1"/>
  <c r="AB99" i="1"/>
  <c r="AC99" i="1" s="1"/>
  <c r="AB67" i="1"/>
  <c r="AB36" i="1"/>
  <c r="W51" i="1"/>
  <c r="W91" i="1"/>
  <c r="W75" i="1"/>
  <c r="W59" i="1"/>
  <c r="T102" i="2"/>
  <c r="J77" i="2"/>
  <c r="U77" i="2" s="1"/>
  <c r="X77" i="2" s="1"/>
  <c r="AB77" i="1"/>
  <c r="J28" i="2"/>
  <c r="U28" i="2" s="1"/>
  <c r="X28" i="2" s="1"/>
  <c r="AB28" i="1"/>
  <c r="J31" i="2"/>
  <c r="U31" i="2" s="1"/>
  <c r="X31" i="2" s="1"/>
  <c r="AB31" i="1"/>
  <c r="J33" i="2"/>
  <c r="U33" i="2" s="1"/>
  <c r="X33" i="2" s="1"/>
  <c r="AB33" i="1"/>
  <c r="J68" i="2"/>
  <c r="U68" i="2" s="1"/>
  <c r="X68" i="2" s="1"/>
  <c r="AB68" i="1"/>
  <c r="J73" i="2"/>
  <c r="U73" i="2" s="1"/>
  <c r="X73" i="2" s="1"/>
  <c r="AB73" i="1"/>
  <c r="J95" i="2"/>
  <c r="U95" i="2" s="1"/>
  <c r="X95" i="2" s="1"/>
  <c r="AB95" i="1"/>
  <c r="J76" i="2"/>
  <c r="U76" i="2" s="1"/>
  <c r="X76" i="2" s="1"/>
  <c r="AB76" i="1"/>
  <c r="J26" i="2"/>
  <c r="U26" i="2" s="1"/>
  <c r="X26" i="2" s="1"/>
  <c r="AB26" i="1"/>
  <c r="J83" i="2"/>
  <c r="U83" i="2" s="1"/>
  <c r="X83" i="2" s="1"/>
  <c r="AB83" i="1"/>
  <c r="J88" i="2"/>
  <c r="U88" i="2" s="1"/>
  <c r="X88" i="2" s="1"/>
  <c r="AB88" i="1"/>
  <c r="J29" i="2"/>
  <c r="U29" i="2" s="1"/>
  <c r="X29" i="2" s="1"/>
  <c r="AB29" i="1"/>
  <c r="J61" i="2"/>
  <c r="U61" i="2" s="1"/>
  <c r="X61" i="2" s="1"/>
  <c r="AB61" i="1"/>
  <c r="J71" i="2"/>
  <c r="U71" i="2" s="1"/>
  <c r="X71" i="2" s="1"/>
  <c r="AB71" i="1"/>
  <c r="J12" i="2"/>
  <c r="U12" i="2" s="1"/>
  <c r="X12" i="2" s="1"/>
  <c r="AB12" i="1"/>
  <c r="J74" i="2"/>
  <c r="U74" i="2" s="1"/>
  <c r="X74" i="2" s="1"/>
  <c r="AB74" i="1"/>
  <c r="J3" i="2"/>
  <c r="U3" i="2" s="1"/>
  <c r="X3" i="2" s="1"/>
  <c r="AB3" i="1"/>
  <c r="J27" i="2"/>
  <c r="U27" i="2" s="1"/>
  <c r="X27" i="2" s="1"/>
  <c r="AB27" i="1"/>
  <c r="J65" i="2"/>
  <c r="U65" i="2" s="1"/>
  <c r="X65" i="2" s="1"/>
  <c r="AB65" i="1"/>
  <c r="J11" i="2"/>
  <c r="U11" i="2" s="1"/>
  <c r="X11" i="2" s="1"/>
  <c r="AB11" i="1"/>
  <c r="J52" i="2"/>
  <c r="U52" i="2" s="1"/>
  <c r="X52" i="2" s="1"/>
  <c r="AB52" i="1"/>
  <c r="J57" i="2"/>
  <c r="U57" i="2" s="1"/>
  <c r="X57" i="2" s="1"/>
  <c r="AB57" i="1"/>
  <c r="J63" i="2"/>
  <c r="U63" i="2" s="1"/>
  <c r="X63" i="2" s="1"/>
  <c r="AB63" i="1"/>
  <c r="J70" i="2"/>
  <c r="U70" i="2" s="1"/>
  <c r="X70" i="2" s="1"/>
  <c r="AB70" i="1"/>
  <c r="J97" i="2"/>
  <c r="U97" i="2" s="1"/>
  <c r="X97" i="2" s="1"/>
  <c r="AB97" i="1"/>
  <c r="J17" i="2"/>
  <c r="U17" i="2" s="1"/>
  <c r="X17" i="2" s="1"/>
  <c r="AB17" i="1"/>
  <c r="J48" i="2"/>
  <c r="U48" i="2" s="1"/>
  <c r="X48" i="2" s="1"/>
  <c r="AB48" i="1"/>
  <c r="J69" i="2"/>
  <c r="U69" i="2" s="1"/>
  <c r="X69" i="2" s="1"/>
  <c r="AB69" i="1"/>
  <c r="J87" i="2"/>
  <c r="U87" i="2" s="1"/>
  <c r="X87" i="2" s="1"/>
  <c r="AB87" i="1"/>
  <c r="J14" i="2"/>
  <c r="U14" i="2" s="1"/>
  <c r="X14" i="2" s="1"/>
  <c r="AB14" i="1"/>
  <c r="J50" i="2"/>
  <c r="U50" i="2" s="1"/>
  <c r="X50" i="2" s="1"/>
  <c r="AB50" i="1"/>
  <c r="J5" i="2"/>
  <c r="U5" i="2" s="1"/>
  <c r="X5" i="2" s="1"/>
  <c r="AB5" i="1"/>
  <c r="J81" i="2"/>
  <c r="U81" i="2" s="1"/>
  <c r="X81" i="2" s="1"/>
  <c r="AB81" i="1"/>
  <c r="J35" i="2"/>
  <c r="U35" i="2" s="1"/>
  <c r="X35" i="2" s="1"/>
  <c r="AB35" i="1"/>
  <c r="J40" i="2"/>
  <c r="U40" i="2" s="1"/>
  <c r="X40" i="2" s="1"/>
  <c r="AB40" i="1"/>
  <c r="J8" i="2"/>
  <c r="U8" i="2" s="1"/>
  <c r="X8" i="2" s="1"/>
  <c r="AB8" i="1"/>
  <c r="J45" i="2"/>
  <c r="U45" i="2" s="1"/>
  <c r="X45" i="2" s="1"/>
  <c r="AB45" i="1"/>
  <c r="J10" i="2"/>
  <c r="U10" i="2" s="1"/>
  <c r="X10" i="2" s="1"/>
  <c r="AB10" i="1"/>
  <c r="J90" i="2"/>
  <c r="U90" i="2" s="1"/>
  <c r="X90" i="2" s="1"/>
  <c r="AB90" i="1"/>
  <c r="J54" i="2"/>
  <c r="U54" i="2" s="1"/>
  <c r="X54" i="2" s="1"/>
  <c r="AB54" i="1"/>
  <c r="J62" i="2"/>
  <c r="U62" i="2" s="1"/>
  <c r="X62" i="2" s="1"/>
  <c r="AB62" i="1"/>
  <c r="J64" i="2"/>
  <c r="U64" i="2" s="1"/>
  <c r="X64" i="2" s="1"/>
  <c r="AB64" i="1"/>
  <c r="J4" i="2"/>
  <c r="U4" i="2" s="1"/>
  <c r="X4" i="2" s="1"/>
  <c r="AB4" i="1"/>
  <c r="J7" i="2"/>
  <c r="U7" i="2" s="1"/>
  <c r="X7" i="2" s="1"/>
  <c r="AB7" i="1"/>
  <c r="J72" i="2"/>
  <c r="U72" i="2" s="1"/>
  <c r="X72" i="2" s="1"/>
  <c r="AB72" i="1"/>
  <c r="J32" i="2"/>
  <c r="U32" i="2" s="1"/>
  <c r="X32" i="2" s="1"/>
  <c r="AB32" i="1"/>
  <c r="J22" i="2"/>
  <c r="U22" i="2" s="1"/>
  <c r="X22" i="2" s="1"/>
  <c r="AB22" i="1"/>
  <c r="J58" i="2"/>
  <c r="U58" i="2" s="1"/>
  <c r="X58" i="2" s="1"/>
  <c r="AB58" i="1"/>
  <c r="J13" i="2"/>
  <c r="U13" i="2" s="1"/>
  <c r="X13" i="2" s="1"/>
  <c r="AB13" i="1"/>
  <c r="J9" i="2"/>
  <c r="U9" i="2" s="1"/>
  <c r="X9" i="2" s="1"/>
  <c r="AB9" i="1"/>
  <c r="J38" i="2"/>
  <c r="U38" i="2" s="1"/>
  <c r="X38" i="2" s="1"/>
  <c r="AB38" i="1"/>
  <c r="J100" i="2"/>
  <c r="U100" i="2" s="1"/>
  <c r="X100" i="2" s="1"/>
  <c r="AB100" i="1"/>
  <c r="J41" i="2"/>
  <c r="U41" i="2" s="1"/>
  <c r="X41" i="2" s="1"/>
  <c r="AB41" i="1"/>
  <c r="J46" i="2"/>
  <c r="U46" i="2" s="1"/>
  <c r="X46" i="2" s="1"/>
  <c r="AB46" i="1"/>
  <c r="J44" i="2"/>
  <c r="U44" i="2" s="1"/>
  <c r="X44" i="2" s="1"/>
  <c r="AB44" i="1"/>
  <c r="J43" i="2"/>
  <c r="U43" i="2" s="1"/>
  <c r="X43" i="2" s="1"/>
  <c r="AB43" i="1"/>
  <c r="J18" i="2"/>
  <c r="U18" i="2" s="1"/>
  <c r="X18" i="2" s="1"/>
  <c r="AB18" i="1"/>
  <c r="J96" i="2"/>
  <c r="U96" i="2" s="1"/>
  <c r="X96" i="2" s="1"/>
  <c r="AB96" i="1"/>
  <c r="J37" i="2"/>
  <c r="U37" i="2" s="1"/>
  <c r="X37" i="2" s="1"/>
  <c r="AB37" i="1"/>
  <c r="J53" i="2"/>
  <c r="U53" i="2" s="1"/>
  <c r="X53" i="2" s="1"/>
  <c r="AB53" i="1"/>
  <c r="J55" i="2"/>
  <c r="U55" i="2" s="1"/>
  <c r="X55" i="2" s="1"/>
  <c r="AB55" i="1"/>
  <c r="J98" i="2"/>
  <c r="U98" i="2" s="1"/>
  <c r="X98" i="2" s="1"/>
  <c r="AB98" i="1"/>
  <c r="J39" i="2"/>
  <c r="U39" i="2" s="1"/>
  <c r="X39" i="2" s="1"/>
  <c r="AB39" i="1"/>
  <c r="J92" i="2"/>
  <c r="U92" i="2" s="1"/>
  <c r="X92" i="2" s="1"/>
  <c r="AB92" i="1"/>
  <c r="J49" i="2"/>
  <c r="U49" i="2" s="1"/>
  <c r="X49" i="2" s="1"/>
  <c r="AB49" i="1"/>
  <c r="J16" i="2"/>
  <c r="U16" i="2" s="1"/>
  <c r="X16" i="2" s="1"/>
  <c r="AB16" i="1"/>
  <c r="J51" i="2"/>
  <c r="U51" i="2" s="1"/>
  <c r="X51" i="2" s="1"/>
  <c r="AB51" i="1"/>
  <c r="J59" i="2"/>
  <c r="U59" i="2" s="1"/>
  <c r="X59" i="2" s="1"/>
  <c r="AB59" i="1"/>
  <c r="J85" i="2"/>
  <c r="U85" i="2" s="1"/>
  <c r="X85" i="2" s="1"/>
  <c r="AB85" i="1"/>
  <c r="J66" i="2"/>
  <c r="U66" i="2" s="1"/>
  <c r="X66" i="2" s="1"/>
  <c r="AB66" i="1"/>
  <c r="J21" i="2"/>
  <c r="U21" i="2" s="1"/>
  <c r="X21" i="2" s="1"/>
  <c r="AB21" i="1"/>
  <c r="J78" i="2"/>
  <c r="U78" i="2" s="1"/>
  <c r="X78" i="2" s="1"/>
  <c r="AB78" i="1"/>
  <c r="J91" i="2"/>
  <c r="U91" i="2" s="1"/>
  <c r="X91" i="2" s="1"/>
  <c r="AB91" i="1"/>
  <c r="J56" i="2"/>
  <c r="U56" i="2" s="1"/>
  <c r="X56" i="2" s="1"/>
  <c r="AB56" i="1"/>
  <c r="J93" i="2"/>
  <c r="U93" i="2" s="1"/>
  <c r="X93" i="2" s="1"/>
  <c r="AB93" i="1"/>
  <c r="J34" i="2"/>
  <c r="U34" i="2" s="1"/>
  <c r="X34" i="2" s="1"/>
  <c r="AB34" i="1"/>
  <c r="J23" i="2"/>
  <c r="U23" i="2" s="1"/>
  <c r="X23" i="2" s="1"/>
  <c r="AB23" i="1"/>
  <c r="J6" i="2"/>
  <c r="U6" i="2" s="1"/>
  <c r="X6" i="2" s="1"/>
  <c r="AB6" i="1"/>
  <c r="J2" i="2"/>
  <c r="U2" i="2" s="1"/>
  <c r="X2" i="2" s="1"/>
  <c r="J86" i="2"/>
  <c r="U86" i="2" s="1"/>
  <c r="X86" i="2" s="1"/>
  <c r="AB86" i="1"/>
  <c r="J60" i="2"/>
  <c r="U60" i="2" s="1"/>
  <c r="X60" i="2" s="1"/>
  <c r="AB60" i="1"/>
  <c r="J47" i="2"/>
  <c r="U47" i="2" s="1"/>
  <c r="X47" i="2" s="1"/>
  <c r="AB47" i="1"/>
  <c r="J84" i="2"/>
  <c r="U84" i="2" s="1"/>
  <c r="X84" i="2" s="1"/>
  <c r="AB84" i="1"/>
  <c r="J89" i="2"/>
  <c r="U89" i="2" s="1"/>
  <c r="X89" i="2" s="1"/>
  <c r="AB89" i="1"/>
  <c r="J30" i="2"/>
  <c r="U30" i="2" s="1"/>
  <c r="X30" i="2" s="1"/>
  <c r="AB30" i="1"/>
  <c r="J15" i="2"/>
  <c r="U15" i="2" s="1"/>
  <c r="X15" i="2" s="1"/>
  <c r="AB15" i="1"/>
  <c r="J25" i="2"/>
  <c r="U25" i="2" s="1"/>
  <c r="X25" i="2" s="1"/>
  <c r="AB25" i="1"/>
  <c r="J94" i="2"/>
  <c r="U94" i="2" s="1"/>
  <c r="X94" i="2" s="1"/>
  <c r="AB94" i="1"/>
  <c r="J80" i="2"/>
  <c r="U80" i="2" s="1"/>
  <c r="X80" i="2" s="1"/>
  <c r="AB80" i="1"/>
  <c r="J101" i="2"/>
  <c r="U101" i="2" s="1"/>
  <c r="X101" i="2" s="1"/>
  <c r="AB101" i="1"/>
  <c r="J42" i="2"/>
  <c r="U42" i="2" s="1"/>
  <c r="X42" i="2" s="1"/>
  <c r="AB42" i="1"/>
  <c r="J20" i="2"/>
  <c r="U20" i="2" s="1"/>
  <c r="X20" i="2" s="1"/>
  <c r="AB20" i="1"/>
  <c r="J82" i="2"/>
  <c r="U82" i="2" s="1"/>
  <c r="X82" i="2" s="1"/>
  <c r="AB82" i="1"/>
  <c r="J19" i="2"/>
  <c r="U19" i="2" s="1"/>
  <c r="X19" i="2" s="1"/>
  <c r="AB19" i="1"/>
  <c r="J79" i="2"/>
  <c r="U79" i="2" s="1"/>
  <c r="X79" i="2" s="1"/>
  <c r="AB79" i="1"/>
  <c r="J24" i="2"/>
  <c r="U24" i="2" s="1"/>
  <c r="X24" i="2" s="1"/>
  <c r="AB24" i="1"/>
  <c r="J75" i="2"/>
  <c r="U75" i="2" s="1"/>
  <c r="X75" i="2" s="1"/>
  <c r="AB75" i="1"/>
  <c r="W46" i="1"/>
  <c r="W78" i="1"/>
  <c r="W11" i="1"/>
  <c r="W25" i="1"/>
  <c r="W94" i="1"/>
  <c r="W4" i="1"/>
  <c r="W66" i="1"/>
  <c r="W96" i="1"/>
  <c r="W57" i="1"/>
  <c r="W73" i="1"/>
  <c r="W22" i="1"/>
  <c r="W17" i="1"/>
  <c r="W49" i="1"/>
  <c r="W39" i="1"/>
  <c r="W32" i="1"/>
  <c r="W12" i="1"/>
  <c r="W41" i="1"/>
  <c r="W2" i="1"/>
  <c r="W5" i="1"/>
  <c r="W85" i="1"/>
  <c r="W10" i="1"/>
  <c r="W61" i="1"/>
  <c r="AC67" i="1" l="1"/>
  <c r="AC36" i="1"/>
  <c r="AC79" i="1"/>
  <c r="AC94" i="1"/>
  <c r="AC84" i="1"/>
  <c r="AC93" i="1"/>
  <c r="AC75" i="1"/>
  <c r="AC89" i="1"/>
  <c r="AC91" i="1"/>
  <c r="AC92" i="1"/>
  <c r="AC44" i="1"/>
  <c r="AC45" i="1"/>
  <c r="AC87" i="1"/>
  <c r="AC70" i="1"/>
  <c r="AC68" i="1"/>
  <c r="AC77" i="1"/>
  <c r="AC82" i="1"/>
  <c r="AC78" i="1"/>
  <c r="AC80" i="1"/>
  <c r="AC86" i="1"/>
  <c r="AC85" i="1"/>
  <c r="AC96" i="1"/>
  <c r="AC64" i="1"/>
  <c r="AC88" i="1"/>
  <c r="AC76" i="1"/>
  <c r="AC73" i="1"/>
  <c r="AC46" i="1"/>
  <c r="AC81" i="1"/>
  <c r="AC69" i="1"/>
  <c r="AC27" i="1"/>
  <c r="AC74" i="1"/>
  <c r="AC71" i="1"/>
  <c r="AC66" i="1"/>
  <c r="AC72" i="1"/>
  <c r="AC90" i="1"/>
  <c r="AC65" i="1"/>
  <c r="AC83" i="1"/>
  <c r="AC95" i="1"/>
  <c r="AC39" i="1"/>
  <c r="AC13" i="1"/>
  <c r="AC22" i="1"/>
  <c r="AC8" i="1"/>
  <c r="AC63" i="1"/>
  <c r="AC26" i="1"/>
  <c r="AC33" i="1"/>
  <c r="AC28" i="1"/>
  <c r="U102" i="2"/>
  <c r="AC24" i="1"/>
  <c r="AC42" i="1"/>
  <c r="AC15" i="1"/>
  <c r="AC60" i="1"/>
  <c r="X102" i="2"/>
  <c r="X104" i="2" s="1"/>
  <c r="Y103" i="2" s="1"/>
  <c r="AC16" i="1"/>
  <c r="AC37" i="1"/>
  <c r="AC18" i="1"/>
  <c r="AC100" i="1"/>
  <c r="AC4" i="1"/>
  <c r="AC62" i="1"/>
  <c r="AC50" i="1"/>
  <c r="AC17" i="1"/>
  <c r="AC52" i="1"/>
  <c r="AC29" i="1"/>
  <c r="AC51" i="1"/>
  <c r="AC55" i="1"/>
  <c r="AC6" i="1"/>
  <c r="AC34" i="1"/>
  <c r="AC59" i="1"/>
  <c r="AC98" i="1"/>
  <c r="AC53" i="1"/>
  <c r="AC9" i="1"/>
  <c r="AC58" i="1"/>
  <c r="AC35" i="1"/>
  <c r="AC57" i="1"/>
  <c r="AC3" i="1"/>
  <c r="AC12" i="1"/>
  <c r="AC61" i="1"/>
  <c r="AC31" i="1"/>
  <c r="AC101" i="1"/>
  <c r="AC23" i="1"/>
  <c r="AC56" i="1"/>
  <c r="AC43" i="1"/>
  <c r="AC19" i="1"/>
  <c r="AC20" i="1"/>
  <c r="AC25" i="1"/>
  <c r="AC30" i="1"/>
  <c r="AC47" i="1"/>
  <c r="AC21" i="1"/>
  <c r="AC49" i="1"/>
  <c r="AC41" i="1"/>
  <c r="AC38" i="1"/>
  <c r="AC32" i="1"/>
  <c r="AC7" i="1"/>
  <c r="AC54" i="1"/>
  <c r="AC10" i="1"/>
  <c r="AC40" i="1"/>
  <c r="AC5" i="1"/>
  <c r="AC14" i="1"/>
  <c r="AC48" i="1"/>
  <c r="AC97" i="1"/>
  <c r="AC11" i="1"/>
  <c r="Y102" i="2" l="1"/>
  <c r="Z101" i="2" s="1"/>
</calcChain>
</file>

<file path=xl/sharedStrings.xml><?xml version="1.0" encoding="utf-8"?>
<sst xmlns="http://schemas.openxmlformats.org/spreadsheetml/2006/main" count="1023" uniqueCount="290">
  <si>
    <t>ბარკოდი</t>
  </si>
  <si>
    <t>დასახელება</t>
  </si>
  <si>
    <t>გასაყიდი ფასი</t>
  </si>
  <si>
    <t>48/W</t>
  </si>
  <si>
    <t>აგრო-კონტეინერი „ეკონომ-პლუსი“ თეთრი</t>
  </si>
  <si>
    <t>ცალი</t>
  </si>
  <si>
    <t>43/R</t>
  </si>
  <si>
    <t>პლასტმასის ურიკის ჯამი</t>
  </si>
  <si>
    <t>42/DB</t>
  </si>
  <si>
    <t>ქოთანი "კონუსი" ლურჯი</t>
  </si>
  <si>
    <t>20/R</t>
  </si>
  <si>
    <t>ღრმა პატარა ლანგარი წითელი</t>
  </si>
  <si>
    <t>20/G</t>
  </si>
  <si>
    <t>ღრმა პატარა ლანგარი მწვანე</t>
  </si>
  <si>
    <t>20/DB</t>
  </si>
  <si>
    <t>ღრმა პატარა ლანგარი ლურჯი</t>
  </si>
  <si>
    <t>20/P</t>
  </si>
  <si>
    <t>ღრმა პატარა ლანგარი იასამნისფერი</t>
  </si>
  <si>
    <t>40/DB</t>
  </si>
  <si>
    <t>საბერტყი ლურჯი</t>
  </si>
  <si>
    <t>30/DB</t>
  </si>
  <si>
    <t>აბაზანა ლურჯი</t>
  </si>
  <si>
    <t>10/BL</t>
  </si>
  <si>
    <t>პლასტმასის სათლი "სმარტ პლიუსი" შავი</t>
  </si>
  <si>
    <t>29/DB</t>
  </si>
  <si>
    <t>პლასტმასის ქვაბი ლურჯი</t>
  </si>
  <si>
    <t>9/DB</t>
  </si>
  <si>
    <t>პლასტმასის სათლი თავსახურით "ჰიდრო მაქსი" ლურჯი</t>
  </si>
  <si>
    <t>19/BL</t>
  </si>
  <si>
    <t>გოდორი შავი</t>
  </si>
  <si>
    <t>18/G</t>
  </si>
  <si>
    <t>ტარიანი ტოლჩა მწვანე</t>
  </si>
  <si>
    <t>18/DB</t>
  </si>
  <si>
    <t>ტარიანი ტოლჩა ლურჯი</t>
  </si>
  <si>
    <t>18/P</t>
  </si>
  <si>
    <t>ტარიანი ტოლჩა იასამნისფერი</t>
  </si>
  <si>
    <t>8/R</t>
  </si>
  <si>
    <t>თასი წითელი - S</t>
  </si>
  <si>
    <t>8/G</t>
  </si>
  <si>
    <t>თასი მწვანე - S</t>
  </si>
  <si>
    <t>8/DB</t>
  </si>
  <si>
    <t>თასი ლურჯი - S</t>
  </si>
  <si>
    <t>8/P</t>
  </si>
  <si>
    <t>თასი იასამნისფერი - S</t>
  </si>
  <si>
    <t>17/1R</t>
  </si>
  <si>
    <t>ოვალური აქანდაზი წითელი</t>
  </si>
  <si>
    <t>17/1/DB</t>
  </si>
  <si>
    <t>ოვალური აქანდაზი ლურჯი</t>
  </si>
  <si>
    <t>17/DB</t>
  </si>
  <si>
    <t>მართკუთხა აქანდაზი ლურჯი</t>
  </si>
  <si>
    <t>7/DB</t>
  </si>
  <si>
    <t xml:space="preserve">გობი - M ლურჯი </t>
  </si>
  <si>
    <t>16/BL</t>
  </si>
  <si>
    <t>ინდუსტრიული სათლი შავი</t>
  </si>
  <si>
    <t>6/R</t>
  </si>
  <si>
    <t>გობი ერგონომიური სახელურებით წითელი - L</t>
  </si>
  <si>
    <t>6/G</t>
  </si>
  <si>
    <t>გობი ერგონომიური სახელურებით მწვანე - L</t>
  </si>
  <si>
    <t>6/DB</t>
  </si>
  <si>
    <t>გობი ერგონომიური სახელურებით ლურჯი - L</t>
  </si>
  <si>
    <t>5/DB</t>
  </si>
  <si>
    <t>უნივერსალური ვარცლი ლურჯი</t>
  </si>
  <si>
    <t>5/1/BL</t>
  </si>
  <si>
    <t>ინდუსტრიული ვარცლი შავი</t>
  </si>
  <si>
    <t>35/R</t>
  </si>
  <si>
    <t>დიდი ჯამი წითელი - M</t>
  </si>
  <si>
    <t>35/Y</t>
  </si>
  <si>
    <t>დიდი ჯამი ყვითელი - M</t>
  </si>
  <si>
    <t>35/DB</t>
  </si>
  <si>
    <t>დიდი ჯამი ლურჯი - M</t>
  </si>
  <si>
    <t>35/P</t>
  </si>
  <si>
    <t>დიდი ჯამი იასამნისფერი - M</t>
  </si>
  <si>
    <t>25/BL</t>
  </si>
  <si>
    <t>დეკორატიული ღობე</t>
  </si>
  <si>
    <t>24/R</t>
  </si>
  <si>
    <t>პლასტმასის ბოცის თავსახური წითელი</t>
  </si>
  <si>
    <t>24/BL</t>
  </si>
  <si>
    <t>პლასტმასის ბოცის თავსახური შავი</t>
  </si>
  <si>
    <t>24/G</t>
  </si>
  <si>
    <t>პლასტმასის ბოცის თავსახური მწვანე</t>
  </si>
  <si>
    <t>24/DB</t>
  </si>
  <si>
    <t>პლასტმასის ბოცის თავსახური ლურჯი</t>
  </si>
  <si>
    <t>24/W</t>
  </si>
  <si>
    <t>პლასტმასის ბოცის თავსახური თეთრი</t>
  </si>
  <si>
    <t>34/R</t>
  </si>
  <si>
    <t>პატარა ჯამი წითელი - S</t>
  </si>
  <si>
    <t>34/G</t>
  </si>
  <si>
    <t>პატარა ჯამი მწვანე- S</t>
  </si>
  <si>
    <t>34/DB</t>
  </si>
  <si>
    <t>პატარა ჯამი ლურჯი - S</t>
  </si>
  <si>
    <t>34/P</t>
  </si>
  <si>
    <t>პატარა ჯამი იასამნისფერი - S</t>
  </si>
  <si>
    <t>4/DB</t>
  </si>
  <si>
    <t>მრგვალი ვარცლი ლურჯი - S</t>
  </si>
  <si>
    <t>14/DB</t>
  </si>
  <si>
    <t>მრგვალი ვარცლი ლურჯი - M</t>
  </si>
  <si>
    <t>13/BL</t>
  </si>
  <si>
    <t>პლასტმასის სათლი "სმარტი" შავი</t>
  </si>
  <si>
    <t>3/DB</t>
  </si>
  <si>
    <t>ოვალური ვარცლი ლურჯი - S</t>
  </si>
  <si>
    <t>42/BL</t>
  </si>
  <si>
    <t>ქოთანი "კონუსი" შავი</t>
  </si>
  <si>
    <t>42/G</t>
  </si>
  <si>
    <t>ქოთანი "კონუსი" მწვანე</t>
  </si>
  <si>
    <t>42/P</t>
  </si>
  <si>
    <t xml:space="preserve">ქოთანი "კონუსი" იასამნისფერი </t>
  </si>
  <si>
    <t>22/R</t>
  </si>
  <si>
    <t>საწური წითელი</t>
  </si>
  <si>
    <t>22/G</t>
  </si>
  <si>
    <t>საწური მწვანე</t>
  </si>
  <si>
    <t>22/DB</t>
  </si>
  <si>
    <t>საწური ლურჯი</t>
  </si>
  <si>
    <t>22/P</t>
  </si>
  <si>
    <t>საწური იასამნისფერი</t>
  </si>
  <si>
    <t>12/DB</t>
  </si>
  <si>
    <t>პლასტმასის სათლი თავსახურით "ჰიდრო მინი" ლურჯი</t>
  </si>
  <si>
    <t>2/DB</t>
  </si>
  <si>
    <t>ოვალური ვარცლი ლურჯი - M</t>
  </si>
  <si>
    <t>32/BL</t>
  </si>
  <si>
    <t>ნიჩაბი შავი</t>
  </si>
  <si>
    <t>11/DB</t>
  </si>
  <si>
    <t>გობი სახელურის გარეშე ლურჯი - XL</t>
  </si>
  <si>
    <t>10-1/BL</t>
  </si>
  <si>
    <t>(დიდი) სანერგე ქოთანი დრენაჟით შავი</t>
  </si>
  <si>
    <t>17/1/G</t>
  </si>
  <si>
    <t>ოვალური აქანდაზი მწვანე</t>
  </si>
  <si>
    <t>1/DB</t>
  </si>
  <si>
    <t>ოვალური ვარცლი ლურჯი - L</t>
  </si>
  <si>
    <t>21/P</t>
  </si>
  <si>
    <t>პლასტმასის სერვირების ლანგარი იასამნისფერი</t>
  </si>
  <si>
    <t>21/DB</t>
  </si>
  <si>
    <t>პლასტმასის სერვირების ლანგარი ლურჯი</t>
  </si>
  <si>
    <t>21/G</t>
  </si>
  <si>
    <t>პლასტმასის სერვირების ლანგარი მწვანე</t>
  </si>
  <si>
    <t>ცილინდრული სათლი შავი</t>
  </si>
  <si>
    <t>74/BL</t>
  </si>
  <si>
    <t>ხილ-ბოსტნეულის ბადისებრი ყუთი შავი</t>
  </si>
  <si>
    <t>60/BL</t>
  </si>
  <si>
    <t>ქილების სეპარატორი შავი</t>
  </si>
  <si>
    <t>60/DB</t>
  </si>
  <si>
    <t>ქილების სეპარატორი ლურჯი</t>
  </si>
  <si>
    <t>50/R</t>
  </si>
  <si>
    <t>სითხეგაუმტარი ევრო ყუთი წითელი - S</t>
  </si>
  <si>
    <t>47/R</t>
  </si>
  <si>
    <t>სითხეგაუმტარი ევრო ყუთი წითელი - M</t>
  </si>
  <si>
    <t>49/R</t>
  </si>
  <si>
    <t>სითხეგაუმტარი ევრო ყუთი წითელი- L</t>
  </si>
  <si>
    <t>50/BL</t>
  </si>
  <si>
    <t>სითხეგაუმტარი ევრო ყუთი შავი- S</t>
  </si>
  <si>
    <t>47/BL</t>
  </si>
  <si>
    <t>სითხეგაუმტარი ევრო ყუთი შავი - M</t>
  </si>
  <si>
    <t>49/BL</t>
  </si>
  <si>
    <t>სითხეგაუმტარი ევრო ყუთი შავი - L</t>
  </si>
  <si>
    <t>47/Y</t>
  </si>
  <si>
    <t>სითხეგაუმტარი ევრო ყუთი ყვითელი - M</t>
  </si>
  <si>
    <t>49/Y</t>
  </si>
  <si>
    <t>სითხეგაუმტარი ევრო ყუთი ყვითელი- L</t>
  </si>
  <si>
    <t>47/O</t>
  </si>
  <si>
    <t>სითხეგაუმტარი ევრო ყუთი სტაფილოსფერი  - M</t>
  </si>
  <si>
    <t>50/G</t>
  </si>
  <si>
    <t>სითხეგაუმტარი ევრო ყუთი მწვანე - S</t>
  </si>
  <si>
    <t>47/G</t>
  </si>
  <si>
    <t>სითხეგაუმტარი ევრო ყუთი მწვანე - M</t>
  </si>
  <si>
    <t>49/G</t>
  </si>
  <si>
    <t>სითხეგაუმტარი ევრო ყუთი მწვანე - L</t>
  </si>
  <si>
    <t>50/DB</t>
  </si>
  <si>
    <t>სითხეგაუმტარი ევრო ყუთი ლურჯი - S</t>
  </si>
  <si>
    <t>47/DB</t>
  </si>
  <si>
    <t>სითხეგაუმტარი ევრო ყუთი ლურჯი - M</t>
  </si>
  <si>
    <t>49/DB</t>
  </si>
  <si>
    <t>სითხეგაუმტარი ევრო ყუთი ლურჯი- L</t>
  </si>
  <si>
    <t>46/R</t>
  </si>
  <si>
    <t>ვენტილირებადი ევრო ყუთი წითელი - M</t>
  </si>
  <si>
    <t>45/R</t>
  </si>
  <si>
    <t>ვენტილირებადი ევრო ყუთი წითელი - L</t>
  </si>
  <si>
    <t>46-1/BL</t>
  </si>
  <si>
    <t>ვენტილირებადი ევრო ყუთი შავი - S</t>
  </si>
  <si>
    <t>46/BL</t>
  </si>
  <si>
    <t>ვენტილირებადი ევრო ყუთი შავი - M</t>
  </si>
  <si>
    <t>45/BL</t>
  </si>
  <si>
    <t>ვენტილირებადი ევრო ყუთი შავი - L</t>
  </si>
  <si>
    <t>46/Y</t>
  </si>
  <si>
    <t>ვენტილირებადი ევრო ყუთი ყვითელი - M</t>
  </si>
  <si>
    <t>46-1/G</t>
  </si>
  <si>
    <t>ვენტილირებადი ევრო ყუთი მწვანე - S</t>
  </si>
  <si>
    <t>45/Y</t>
  </si>
  <si>
    <t>ვენტილირებადი ევრო ყუთი ყვითელი- L</t>
  </si>
  <si>
    <t>46/G</t>
  </si>
  <si>
    <t>ვენტილირებადი ევრო ყუთი მწვანე- M</t>
  </si>
  <si>
    <t>45/G</t>
  </si>
  <si>
    <t>ვენტილირებადი ევრო ყუთი მწვანე - L</t>
  </si>
  <si>
    <t>46/DB</t>
  </si>
  <si>
    <t>ვენტილირებადი ევრო ყუთი ლურჯი - M</t>
  </si>
  <si>
    <t>45/DB</t>
  </si>
  <si>
    <t>ვენტილირებადი ევრო ყუთი ლურჯი - L</t>
  </si>
  <si>
    <t>46/W</t>
  </si>
  <si>
    <t>ვენტილირებადი ევრო ყუთი თეთრი - M</t>
  </si>
  <si>
    <t>45/W</t>
  </si>
  <si>
    <t>ვენტილირებადი ევრო ყუთი თეთრი - L</t>
  </si>
  <si>
    <t>48/BL</t>
  </si>
  <si>
    <t>აგრო-კონტეინერი „ეკონომ-პლუსი“ შავი</t>
  </si>
  <si>
    <t>23/DB</t>
  </si>
  <si>
    <t xml:space="preserve"> პლასტმასის ანატომიური სავარძელი ლურჯი</t>
  </si>
  <si>
    <t>74/DB</t>
  </si>
  <si>
    <t>ხილ-ბოსტნეულის ბადისებრი ყუთი ლურჯი</t>
  </si>
  <si>
    <t>23/W</t>
  </si>
  <si>
    <t>პლასტმასის ანატომიური სავარძელი თეთრი</t>
  </si>
  <si>
    <t>23/G</t>
  </si>
  <si>
    <t xml:space="preserve"> პლასტმასის ანატომიური სავარძელი მწვანე</t>
  </si>
  <si>
    <t>59/BL</t>
  </si>
  <si>
    <t>ბოთლების ჩასადები ყუთი ბუდეებით შავი</t>
  </si>
  <si>
    <t>48/G</t>
  </si>
  <si>
    <t>აგრო-კონტეინერი „ეკონომ-პლუსი“ მწვანე</t>
  </si>
  <si>
    <t>მასალა</t>
  </si>
  <si>
    <t>დანადგარი</t>
  </si>
  <si>
    <t>დამზადების დრო წთ</t>
  </si>
  <si>
    <t>1 კგ მასალის ღირებულება</t>
  </si>
  <si>
    <t>რეალური წონა კგ</t>
  </si>
  <si>
    <t>ღირებულება ნედლეულის</t>
  </si>
  <si>
    <t>გასაცემი ხელფასი ცალზე</t>
  </si>
  <si>
    <t>სულ თვითღირებულება</t>
  </si>
  <si>
    <t>დღგ გარეშე</t>
  </si>
  <si>
    <t>დღგ</t>
  </si>
  <si>
    <t>მოგება</t>
  </si>
  <si>
    <t>მოგების მარჟა</t>
  </si>
  <si>
    <t>ელექტროენერგიის მოხმარება კვტ/სთ</t>
  </si>
  <si>
    <t>PP 2</t>
  </si>
  <si>
    <t>იტალიური</t>
  </si>
  <si>
    <t>იტალიური/პატარა გერმანული</t>
  </si>
  <si>
    <t>აკუმულატორი 2</t>
  </si>
  <si>
    <t>ხუთკილოიანი/დიდი გერმანული</t>
  </si>
  <si>
    <t>PE 2, PP 2</t>
  </si>
  <si>
    <t>ნახევრკილოიანი</t>
  </si>
  <si>
    <t>პატარა გერმანული</t>
  </si>
  <si>
    <t>აკუმულატორი 2, PP 2</t>
  </si>
  <si>
    <t>აკუმულატორი 2, PE 2</t>
  </si>
  <si>
    <t>ჰოლანდიური</t>
  </si>
  <si>
    <t>PP 1</t>
  </si>
  <si>
    <t>ჰოლანდიური/ნახევრკილოიანი</t>
  </si>
  <si>
    <t>PE 1</t>
  </si>
  <si>
    <t>PE 1, PP 1, PE 2, PP 2</t>
  </si>
  <si>
    <t>ხუთკილოიანი</t>
  </si>
  <si>
    <t>PE 1, PP 1</t>
  </si>
  <si>
    <t>PP 1, PP 2, აკუმულატორი</t>
  </si>
  <si>
    <t>PE 1, PE 2, აკუმულატორი</t>
  </si>
  <si>
    <t>აკუმულატორი</t>
  </si>
  <si>
    <t>PP 2, აკუმულატორი</t>
  </si>
  <si>
    <t>დახარჯული ელ. ენერგია ლარი</t>
  </si>
  <si>
    <t>ელ. ფასი</t>
  </si>
  <si>
    <t>გადასახდელი დღგ</t>
  </si>
  <si>
    <t>დისტრიბუციის ფასი</t>
  </si>
  <si>
    <t>წონა კგ</t>
  </si>
  <si>
    <t>პროდუქტი</t>
  </si>
  <si>
    <t>დამზადების დრო</t>
  </si>
  <si>
    <t>ერთეულზე დახარჯული ხელფასი</t>
  </si>
  <si>
    <t>რეალური წონა</t>
  </si>
  <si>
    <t>გამოყენებული მასალის ღირებულება</t>
  </si>
  <si>
    <t>ერთეულის თვითღირებულება</t>
  </si>
  <si>
    <t>დამზადების დრო დღე</t>
  </si>
  <si>
    <t>სამუსაო საათების ღირებულება</t>
  </si>
  <si>
    <t>გამოსაყენებელი მასალა კგ</t>
  </si>
  <si>
    <t>გამოსაყენებელი მასალის ღირებულება</t>
  </si>
  <si>
    <t>გასაყიდი ფასი სულ</t>
  </si>
  <si>
    <t>კოდი</t>
  </si>
  <si>
    <t>ერთეულზე დახარჯული ელ. ენერგიის ღირებულება</t>
  </si>
  <si>
    <t>დღგ გარეშე თვიღღ</t>
  </si>
  <si>
    <t xml:space="preserve">დამზადების დრო წთ </t>
  </si>
  <si>
    <t>თვითღირებულება დღგ გარეშე</t>
  </si>
  <si>
    <t>გასაყიდი ფასი დღგ გარეშე</t>
  </si>
  <si>
    <t>თვითRir.</t>
  </si>
  <si>
    <t>დამზაებაზე დახარჯული მასალის ღირებულება</t>
  </si>
  <si>
    <t>13/1/BL</t>
  </si>
  <si>
    <t>მოგება დისტრიბუციის მერე</t>
  </si>
  <si>
    <t>მარჟა დისტრიბუციის მერე</t>
  </si>
  <si>
    <t>ფასი</t>
  </si>
  <si>
    <t>რაოდენობა</t>
  </si>
  <si>
    <t>ღირებულება</t>
  </si>
  <si>
    <t>საწური</t>
  </si>
  <si>
    <t>საწვავი</t>
  </si>
  <si>
    <t>შოთა</t>
  </si>
  <si>
    <t>დისტრიბუტორის ხელფასი 4%</t>
  </si>
  <si>
    <t>ჯამი</t>
  </si>
  <si>
    <t>ერთეულზე დახარჯული ელ. ენერგია</t>
  </si>
  <si>
    <t xml:space="preserve">დამზადების დრო სთ </t>
  </si>
  <si>
    <t>თვითღირებულება სულ</t>
  </si>
  <si>
    <t>მასალის ფასი</t>
  </si>
  <si>
    <t>ჩასათვლელი დღგ</t>
  </si>
  <si>
    <t>თვითღირებულებადღგ გარეშე</t>
  </si>
  <si>
    <t>გასაყიდი დღგ გარეშე</t>
  </si>
  <si>
    <t>შემოსავალი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</si>
</sst>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₾_-;\-* #,##0.00\ _₾_-;_-* &quot;-&quot;??\ _₾_-;_-@_-"/>
    <numFmt numFmtId="165" formatCode="0.0%"/>
  </numFmts>
  <fonts count="3">
    <font>
      <sz val="11"/>
      <name val="Calibri"/>
    </font>
    <font>
      <sz val="11"/>
      <name val="Calibri"/>
    </font>
    <font>
      <sz val="11"/>
      <name val="Calibri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39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2" fontId="0" fillId="0" borderId="0" xfId="0" applyNumberFormat="1"/>
    <xf numFmtId="0" fontId="0" fillId="4" borderId="0" xfId="0" applyFill="1"/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2" fontId="0" fillId="0" borderId="1" xfId="0" applyNumberFormat="1" applyBorder="1"/>
    <xf numFmtId="2" fontId="0" fillId="0" borderId="2" xfId="0" applyNumberFormat="1" applyBorder="1"/>
    <xf numFmtId="165" fontId="0" fillId="0" borderId="0" xfId="1" applyNumberFormat="1" applyFont="1" applyProtection="1"/>
    <xf numFmtId="0" fontId="0" fillId="2" borderId="1" xfId="0" applyFill="1" applyBorder="1"/>
    <xf numFmtId="0" fontId="0" fillId="3" borderId="1" xfId="0" applyFill="1" applyBorder="1"/>
    <xf numFmtId="2" fontId="0" fillId="3" borderId="1" xfId="0" applyNumberFormat="1" applyFill="1" applyBorder="1"/>
    <xf numFmtId="9" fontId="0" fillId="3" borderId="1" xfId="1" applyFont="1" applyFill="1" applyBorder="1" applyProtection="1"/>
    <xf numFmtId="0" fontId="0" fillId="4" borderId="1" xfId="0" applyFill="1" applyBorder="1"/>
    <xf numFmtId="2" fontId="0" fillId="4" borderId="1" xfId="0" applyNumberFormat="1" applyFill="1" applyBorder="1"/>
    <xf numFmtId="0" fontId="0" fillId="3" borderId="0" xfId="0" applyFill="1"/>
    <xf numFmtId="0" fontId="0" fillId="5" borderId="1" xfId="0" applyFill="1" applyBorder="1"/>
    <xf numFmtId="2" fontId="0" fillId="5" borderId="1" xfId="0" applyNumberFormat="1" applyFill="1" applyBorder="1"/>
    <xf numFmtId="9" fontId="0" fillId="4" borderId="1" xfId="1" applyFont="1" applyFill="1" applyBorder="1" applyProtection="1"/>
    <xf numFmtId="164" fontId="0" fillId="4" borderId="1" xfId="2" applyFont="1" applyFill="1" applyBorder="1" applyProtection="1"/>
    <xf numFmtId="2" fontId="0" fillId="6" borderId="1" xfId="0" applyNumberFormat="1" applyFill="1" applyBorder="1"/>
    <xf numFmtId="2" fontId="0" fillId="8" borderId="1" xfId="0" applyNumberFormat="1" applyFill="1" applyBorder="1"/>
    <xf numFmtId="2" fontId="0" fillId="9" borderId="1" xfId="0" applyNumberFormat="1" applyFill="1" applyBorder="1"/>
    <xf numFmtId="164" fontId="0" fillId="10" borderId="1" xfId="2" applyFont="1" applyFill="1" applyBorder="1" applyProtection="1"/>
    <xf numFmtId="2" fontId="0" fillId="10" borderId="1" xfId="0" applyNumberFormat="1" applyFill="1" applyBorder="1"/>
    <xf numFmtId="0" fontId="2" fillId="0" borderId="1" xfId="0" applyFont="1" applyBorder="1"/>
    <xf numFmtId="2" fontId="0" fillId="0" borderId="1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2" xfId="0" applyBorder="1"/>
    <xf numFmtId="2" fontId="0" fillId="8" borderId="2" xfId="0" applyNumberFormat="1" applyFill="1" applyBorder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Downloads/StockItems%20(76).xlsx" TargetMode="External"/><Relationship Id="rId1" Type="http://schemas.openxmlformats.org/officeDocument/2006/relationships/externalLinkPath" Target="/Users/User/Downloads/StockItems%20(7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"/>
    </sheetNames>
    <sheetDataSet>
      <sheetData sheetId="0">
        <row r="1">
          <cell r="A1" t="str">
            <v>ბარკოდი</v>
          </cell>
          <cell r="B1" t="str">
            <v>დასახელება</v>
          </cell>
          <cell r="C1" t="str">
            <v>ზომის ერთეული</v>
          </cell>
          <cell r="D1" t="str">
            <v>მომწოდებელი</v>
          </cell>
          <cell r="E1" t="str">
            <v>კატეგორია</v>
          </cell>
          <cell r="F1" t="str">
            <v>დღგ-ს ტიპი</v>
          </cell>
          <cell r="G1" t="str">
            <v>რაოდენობა</v>
          </cell>
          <cell r="H1" t="str">
            <v>მინიმალური მარაგი</v>
          </cell>
          <cell r="I1" t="str">
            <v>შესყიდვის ფასი</v>
          </cell>
          <cell r="J1" t="str">
            <v>გასაყიდი ფასი</v>
          </cell>
        </row>
        <row r="2">
          <cell r="A2" t="str">
            <v>48/W</v>
          </cell>
          <cell r="B2" t="str">
            <v>აგრო-კონტეინერი „ეკონომ-პლუსი“ თეთრი</v>
          </cell>
          <cell r="C2" t="str">
            <v>ცალი</v>
          </cell>
          <cell r="D2" t="str">
            <v>წარმოება</v>
          </cell>
          <cell r="E2" t="str">
            <v>ყუთები</v>
          </cell>
          <cell r="F2" t="str">
            <v>ჩვეულებრივი</v>
          </cell>
          <cell r="G2">
            <v>0</v>
          </cell>
          <cell r="H2">
            <v>50</v>
          </cell>
          <cell r="I2">
            <v>0</v>
          </cell>
          <cell r="J2">
            <v>15</v>
          </cell>
        </row>
        <row r="3">
          <cell r="A3" t="str">
            <v>43/R</v>
          </cell>
          <cell r="B3" t="str">
            <v>პლასტმასის ურიკის ჯამი</v>
          </cell>
          <cell r="C3" t="str">
            <v>ცალი</v>
          </cell>
          <cell r="D3" t="str">
            <v>წარმოება</v>
          </cell>
          <cell r="E3" t="str">
            <v>სხვა და სხვა</v>
          </cell>
          <cell r="F3" t="str">
            <v>ჩვეულებრივი</v>
          </cell>
          <cell r="G3">
            <v>10</v>
          </cell>
          <cell r="H3">
            <v>50</v>
          </cell>
          <cell r="I3">
            <v>18.7</v>
          </cell>
          <cell r="J3">
            <v>0</v>
          </cell>
        </row>
        <row r="4">
          <cell r="A4" t="str">
            <v>42/DB</v>
          </cell>
          <cell r="B4" t="str">
            <v>ქოთანი "კონუსი" ლურჯი</v>
          </cell>
          <cell r="C4" t="str">
            <v>ცალი</v>
          </cell>
          <cell r="D4" t="str">
            <v>წარმოება</v>
          </cell>
          <cell r="E4" t="str">
            <v>სხვა და სხვა</v>
          </cell>
          <cell r="F4" t="str">
            <v>ჩვეულებრივი</v>
          </cell>
          <cell r="G4">
            <v>0</v>
          </cell>
          <cell r="H4">
            <v>50</v>
          </cell>
          <cell r="I4">
            <v>0</v>
          </cell>
          <cell r="J4">
            <v>1.8</v>
          </cell>
        </row>
        <row r="5">
          <cell r="A5" t="str">
            <v>20/R</v>
          </cell>
          <cell r="B5" t="str">
            <v>ღრმა პატარა ლანგარი წითელი</v>
          </cell>
          <cell r="C5" t="str">
            <v>ცალი</v>
          </cell>
          <cell r="D5" t="str">
            <v>წარმოება</v>
          </cell>
          <cell r="E5" t="str">
            <v>სხვა და სხვა</v>
          </cell>
          <cell r="F5" t="str">
            <v>ჩვეულებრივი</v>
          </cell>
          <cell r="G5">
            <v>0</v>
          </cell>
          <cell r="H5">
            <v>50</v>
          </cell>
          <cell r="I5">
            <v>0</v>
          </cell>
          <cell r="J5">
            <v>1.55</v>
          </cell>
        </row>
        <row r="6">
          <cell r="A6" t="str">
            <v>20/G</v>
          </cell>
          <cell r="B6" t="str">
            <v>ღრმა პატარა ლანგარი მწვანე</v>
          </cell>
          <cell r="C6" t="str">
            <v>ცალი</v>
          </cell>
          <cell r="D6" t="str">
            <v>წარმოება</v>
          </cell>
          <cell r="E6" t="str">
            <v>სხვა და სხვა</v>
          </cell>
          <cell r="F6" t="str">
            <v>ჩვეულებრივი</v>
          </cell>
          <cell r="G6">
            <v>0</v>
          </cell>
          <cell r="H6">
            <v>50</v>
          </cell>
          <cell r="I6">
            <v>0</v>
          </cell>
          <cell r="J6">
            <v>1.55</v>
          </cell>
        </row>
        <row r="7">
          <cell r="A7" t="str">
            <v>20/DB</v>
          </cell>
          <cell r="B7" t="str">
            <v>ღრმა პატარა ლანგარი ლურჯი</v>
          </cell>
          <cell r="C7" t="str">
            <v>ცალი</v>
          </cell>
          <cell r="D7" t="str">
            <v>წარმოება</v>
          </cell>
          <cell r="E7" t="str">
            <v>სხვა და სხვა</v>
          </cell>
          <cell r="F7" t="str">
            <v>ჩვეულებრივი</v>
          </cell>
          <cell r="G7">
            <v>0</v>
          </cell>
          <cell r="H7">
            <v>50</v>
          </cell>
          <cell r="I7">
            <v>0</v>
          </cell>
          <cell r="J7">
            <v>1.55</v>
          </cell>
        </row>
        <row r="8">
          <cell r="A8" t="str">
            <v>20/P</v>
          </cell>
          <cell r="B8" t="str">
            <v>ღრმა პატარა ლანგარი იასამნისფერი</v>
          </cell>
          <cell r="C8" t="str">
            <v>ცალი</v>
          </cell>
          <cell r="D8" t="str">
            <v>წარმოება</v>
          </cell>
          <cell r="E8" t="str">
            <v>სხვა და სხვა</v>
          </cell>
          <cell r="F8" t="str">
            <v>ჩვეულებრივი</v>
          </cell>
          <cell r="G8">
            <v>0</v>
          </cell>
          <cell r="H8">
            <v>50</v>
          </cell>
          <cell r="I8">
            <v>0</v>
          </cell>
          <cell r="J8">
            <v>1.55</v>
          </cell>
        </row>
        <row r="9">
          <cell r="A9" t="str">
            <v>40/DB</v>
          </cell>
          <cell r="B9" t="str">
            <v>საბერტყი ლურჯი</v>
          </cell>
          <cell r="C9" t="str">
            <v>ცალი</v>
          </cell>
          <cell r="D9" t="str">
            <v>წარმოება</v>
          </cell>
          <cell r="E9" t="str">
            <v>სხვა და სხვა</v>
          </cell>
          <cell r="F9" t="str">
            <v>ჩვეულებრივი</v>
          </cell>
          <cell r="G9">
            <v>30</v>
          </cell>
          <cell r="H9">
            <v>50</v>
          </cell>
          <cell r="I9">
            <v>0.5</v>
          </cell>
          <cell r="J9">
            <v>1.45</v>
          </cell>
        </row>
        <row r="10">
          <cell r="A10" t="str">
            <v>30/DB</v>
          </cell>
          <cell r="B10" t="str">
            <v>აბაზანა ლურჯი</v>
          </cell>
          <cell r="C10" t="str">
            <v>ცალი</v>
          </cell>
          <cell r="D10" t="str">
            <v>წარმოება</v>
          </cell>
          <cell r="E10" t="str">
            <v>ტაშტი/ვარცლი</v>
          </cell>
          <cell r="F10" t="str">
            <v>ჩვეულებრივი</v>
          </cell>
          <cell r="G10">
            <v>0</v>
          </cell>
          <cell r="H10">
            <v>50</v>
          </cell>
          <cell r="I10">
            <v>0</v>
          </cell>
          <cell r="J10">
            <v>6.2</v>
          </cell>
        </row>
        <row r="11">
          <cell r="A11" t="str">
            <v>10/BL</v>
          </cell>
          <cell r="B11" t="str">
            <v>პლასტმასის სათლი "სმარტ პლიუსი" შავი</v>
          </cell>
          <cell r="C11" t="str">
            <v>ცალი</v>
          </cell>
          <cell r="D11" t="str">
            <v>წარმოება</v>
          </cell>
          <cell r="E11" t="str">
            <v>ვედრო</v>
          </cell>
          <cell r="F11" t="str">
            <v>ჩვეულებრივი</v>
          </cell>
          <cell r="G11">
            <v>47</v>
          </cell>
          <cell r="H11">
            <v>50</v>
          </cell>
          <cell r="I11">
            <v>1.8</v>
          </cell>
          <cell r="J11">
            <v>3.75</v>
          </cell>
        </row>
        <row r="12">
          <cell r="A12" t="str">
            <v>29/DB</v>
          </cell>
          <cell r="B12" t="str">
            <v>პლასტმასის ქვაბი ლურჯი</v>
          </cell>
          <cell r="C12" t="str">
            <v>ცალი</v>
          </cell>
          <cell r="D12" t="str">
            <v>წარმოება</v>
          </cell>
          <cell r="E12" t="str">
            <v>სხვა და სხვა</v>
          </cell>
          <cell r="F12" t="str">
            <v>ჩვეულებრივი</v>
          </cell>
          <cell r="G12">
            <v>0</v>
          </cell>
          <cell r="H12">
            <v>50</v>
          </cell>
          <cell r="I12">
            <v>0</v>
          </cell>
          <cell r="J12">
            <v>1.85</v>
          </cell>
        </row>
        <row r="13">
          <cell r="A13" t="str">
            <v>9/DB</v>
          </cell>
          <cell r="B13" t="str">
            <v>პლასტმასის სათლი თავსახურით "ჰიდრო მაქსი" ლურჯი</v>
          </cell>
          <cell r="C13" t="str">
            <v>ცალი</v>
          </cell>
          <cell r="D13" t="str">
            <v>წარმოება</v>
          </cell>
          <cell r="E13" t="str">
            <v>ვედრო</v>
          </cell>
          <cell r="F13" t="str">
            <v>ჩვეულებრივი</v>
          </cell>
          <cell r="G13">
            <v>0</v>
          </cell>
          <cell r="H13">
            <v>50</v>
          </cell>
          <cell r="I13">
            <v>0</v>
          </cell>
          <cell r="J13">
            <v>6.8</v>
          </cell>
        </row>
        <row r="14">
          <cell r="A14" t="str">
            <v>19/BL</v>
          </cell>
          <cell r="B14" t="str">
            <v>გოდორი შავი</v>
          </cell>
          <cell r="C14" t="str">
            <v>ცალი</v>
          </cell>
          <cell r="D14" t="str">
            <v>წარმოება</v>
          </cell>
          <cell r="E14" t="str">
            <v>სხვა და სხვა</v>
          </cell>
          <cell r="F14" t="str">
            <v>ჩვეულებრივი</v>
          </cell>
          <cell r="G14">
            <v>25</v>
          </cell>
          <cell r="H14">
            <v>50</v>
          </cell>
          <cell r="I14">
            <v>3</v>
          </cell>
          <cell r="J14">
            <v>7.65</v>
          </cell>
        </row>
        <row r="15">
          <cell r="A15" t="str">
            <v>18/G</v>
          </cell>
          <cell r="B15" t="str">
            <v>ტარიანი ტოლჩა მწვანე</v>
          </cell>
          <cell r="C15" t="str">
            <v>ცალი</v>
          </cell>
          <cell r="D15" t="str">
            <v>წარმოება</v>
          </cell>
          <cell r="E15" t="str">
            <v>სხვა და სხვა</v>
          </cell>
          <cell r="F15" t="str">
            <v>ჩვეულებრივი</v>
          </cell>
          <cell r="G15">
            <v>0</v>
          </cell>
          <cell r="H15">
            <v>50</v>
          </cell>
          <cell r="I15">
            <v>0</v>
          </cell>
          <cell r="J15">
            <v>1.55</v>
          </cell>
        </row>
        <row r="16">
          <cell r="A16" t="str">
            <v>18/DB</v>
          </cell>
          <cell r="B16" t="str">
            <v>ტარიანი ტოლჩა ლურჯი</v>
          </cell>
          <cell r="C16" t="str">
            <v>ცალი</v>
          </cell>
          <cell r="D16" t="str">
            <v>წარმოება</v>
          </cell>
          <cell r="E16" t="str">
            <v>სხვა და სხვა</v>
          </cell>
          <cell r="F16" t="str">
            <v>ჩვეულებრივი</v>
          </cell>
          <cell r="G16">
            <v>23</v>
          </cell>
          <cell r="H16">
            <v>50</v>
          </cell>
          <cell r="I16">
            <v>0.6</v>
          </cell>
          <cell r="J16">
            <v>1.55</v>
          </cell>
        </row>
        <row r="17">
          <cell r="A17" t="str">
            <v>18/P</v>
          </cell>
          <cell r="B17" t="str">
            <v>ტარიანი ტოლჩა იასამნისფერი</v>
          </cell>
          <cell r="C17" t="str">
            <v>ცალი</v>
          </cell>
          <cell r="D17" t="str">
            <v>წარმოება</v>
          </cell>
          <cell r="E17" t="str">
            <v>სხვა და სხვა</v>
          </cell>
          <cell r="F17" t="str">
            <v>ჩვეულებრივი</v>
          </cell>
          <cell r="G17">
            <v>17</v>
          </cell>
          <cell r="H17">
            <v>50</v>
          </cell>
          <cell r="I17">
            <v>0.6</v>
          </cell>
          <cell r="J17">
            <v>1.55</v>
          </cell>
        </row>
        <row r="18">
          <cell r="A18" t="str">
            <v>8/R</v>
          </cell>
          <cell r="B18" t="str">
            <v>თასი წითელი - S</v>
          </cell>
          <cell r="C18" t="str">
            <v>ცალი</v>
          </cell>
          <cell r="D18" t="str">
            <v>წარმოება</v>
          </cell>
          <cell r="E18" t="str">
            <v>ტაშტი/ვარცლი</v>
          </cell>
          <cell r="F18" t="str">
            <v>ჩვეულებრივი</v>
          </cell>
          <cell r="G18">
            <v>7</v>
          </cell>
          <cell r="H18">
            <v>50</v>
          </cell>
          <cell r="I18">
            <v>1</v>
          </cell>
          <cell r="J18">
            <v>3</v>
          </cell>
        </row>
        <row r="19">
          <cell r="A19" t="str">
            <v>8/G</v>
          </cell>
          <cell r="B19" t="str">
            <v>თასი მწვანე - S</v>
          </cell>
          <cell r="C19" t="str">
            <v>ცალი</v>
          </cell>
          <cell r="D19" t="str">
            <v>წარმოება</v>
          </cell>
          <cell r="E19" t="str">
            <v>ტაშტი/ვარცლი</v>
          </cell>
          <cell r="F19" t="str">
            <v>ჩვეულებრივი</v>
          </cell>
          <cell r="G19">
            <v>39</v>
          </cell>
          <cell r="H19">
            <v>50</v>
          </cell>
          <cell r="I19">
            <v>1</v>
          </cell>
          <cell r="J19">
            <v>3</v>
          </cell>
        </row>
        <row r="20">
          <cell r="A20" t="str">
            <v>8/DB</v>
          </cell>
          <cell r="B20" t="str">
            <v>თასი ლურჯი - S</v>
          </cell>
          <cell r="C20" t="str">
            <v>ცალი</v>
          </cell>
          <cell r="D20" t="str">
            <v>წარმოება</v>
          </cell>
          <cell r="E20" t="str">
            <v>ტაშტი/ვარცლი</v>
          </cell>
          <cell r="F20" t="str">
            <v>ჩვეულებრივი</v>
          </cell>
          <cell r="G20">
            <v>0</v>
          </cell>
          <cell r="H20">
            <v>50</v>
          </cell>
          <cell r="I20">
            <v>0</v>
          </cell>
          <cell r="J20">
            <v>3</v>
          </cell>
        </row>
        <row r="21">
          <cell r="A21" t="str">
            <v>8/P</v>
          </cell>
          <cell r="B21" t="str">
            <v>თასი იასამნისფერი - S</v>
          </cell>
          <cell r="C21" t="str">
            <v>ცალი</v>
          </cell>
          <cell r="D21" t="str">
            <v>წარმოება</v>
          </cell>
          <cell r="E21" t="str">
            <v>ტაშტი/ვარცლი</v>
          </cell>
          <cell r="F21" t="str">
            <v>ჩვეულებრივი</v>
          </cell>
          <cell r="G21">
            <v>0</v>
          </cell>
          <cell r="H21">
            <v>50</v>
          </cell>
          <cell r="I21">
            <v>0</v>
          </cell>
          <cell r="J21">
            <v>3</v>
          </cell>
        </row>
        <row r="22">
          <cell r="A22" t="str">
            <v>17/1R</v>
          </cell>
          <cell r="B22" t="str">
            <v>ოვალური აქანდაზი წითელი</v>
          </cell>
          <cell r="C22" t="str">
            <v>ცალი</v>
          </cell>
          <cell r="D22" t="str">
            <v>წარმოება</v>
          </cell>
          <cell r="E22" t="str">
            <v>სხვა და სხვა</v>
          </cell>
          <cell r="F22" t="str">
            <v>ჩვეულებრივი</v>
          </cell>
          <cell r="G22">
            <v>0</v>
          </cell>
          <cell r="H22">
            <v>50</v>
          </cell>
          <cell r="I22">
            <v>0</v>
          </cell>
          <cell r="J22">
            <v>1.7</v>
          </cell>
        </row>
        <row r="23">
          <cell r="A23" t="str">
            <v>17/1/DB</v>
          </cell>
          <cell r="B23" t="str">
            <v>ოვალური აქანდაზი ლურჯი</v>
          </cell>
          <cell r="C23" t="str">
            <v>ცალი</v>
          </cell>
          <cell r="D23" t="str">
            <v>წარმოება</v>
          </cell>
          <cell r="E23" t="str">
            <v>სხვა და სხვა</v>
          </cell>
          <cell r="F23" t="str">
            <v>ჩვეულებრივი</v>
          </cell>
          <cell r="G23">
            <v>0</v>
          </cell>
          <cell r="H23">
            <v>50</v>
          </cell>
          <cell r="I23">
            <v>0</v>
          </cell>
          <cell r="J23">
            <v>1.7</v>
          </cell>
        </row>
        <row r="24">
          <cell r="A24" t="str">
            <v>17/DB</v>
          </cell>
          <cell r="B24" t="str">
            <v>მართკუთხა აქანდაზი ლურჯი</v>
          </cell>
          <cell r="C24" t="str">
            <v>ცალი</v>
          </cell>
          <cell r="D24" t="str">
            <v>წარმოება</v>
          </cell>
          <cell r="E24" t="str">
            <v>სხვა და სხვა</v>
          </cell>
          <cell r="F24" t="str">
            <v>ჩვეულებრივი</v>
          </cell>
          <cell r="G24">
            <v>0</v>
          </cell>
          <cell r="H24">
            <v>50</v>
          </cell>
          <cell r="I24">
            <v>0</v>
          </cell>
          <cell r="J24">
            <v>1.55</v>
          </cell>
        </row>
        <row r="25">
          <cell r="A25" t="str">
            <v>7/DB</v>
          </cell>
          <cell r="B25" t="str">
            <v xml:space="preserve">გობი - M ლურჯი </v>
          </cell>
          <cell r="C25" t="str">
            <v>ცალი</v>
          </cell>
          <cell r="D25" t="str">
            <v>წარმოება</v>
          </cell>
          <cell r="E25" t="str">
            <v>ტაშტი/ვარცლი</v>
          </cell>
          <cell r="F25" t="str">
            <v>ჩვეულებრივი</v>
          </cell>
          <cell r="G25">
            <v>0</v>
          </cell>
          <cell r="H25">
            <v>50</v>
          </cell>
          <cell r="I25">
            <v>0</v>
          </cell>
          <cell r="J25">
            <v>3.85</v>
          </cell>
        </row>
        <row r="26">
          <cell r="A26" t="str">
            <v>16/BL</v>
          </cell>
          <cell r="B26" t="str">
            <v>ინდუსტრიული სათლი შავი</v>
          </cell>
          <cell r="C26" t="str">
            <v>ცალი</v>
          </cell>
          <cell r="D26" t="str">
            <v>წარმოება</v>
          </cell>
          <cell r="E26" t="str">
            <v>ვედრო</v>
          </cell>
          <cell r="F26" t="str">
            <v>ჩვეულებრივი</v>
          </cell>
          <cell r="G26">
            <v>25</v>
          </cell>
          <cell r="H26">
            <v>50</v>
          </cell>
          <cell r="I26">
            <v>3.5</v>
          </cell>
          <cell r="J26">
            <v>7.65</v>
          </cell>
        </row>
        <row r="27">
          <cell r="A27" t="str">
            <v>6/R</v>
          </cell>
          <cell r="B27" t="str">
            <v>გობი ერგონომიური სახელურებით წითელი - L</v>
          </cell>
          <cell r="C27" t="str">
            <v>ცალი</v>
          </cell>
          <cell r="D27" t="str">
            <v>წარმოება</v>
          </cell>
          <cell r="E27" t="str">
            <v>ტაშტი/ვარცლი</v>
          </cell>
          <cell r="F27" t="str">
            <v>ჩვეულებრივი</v>
          </cell>
          <cell r="G27">
            <v>24</v>
          </cell>
          <cell r="H27">
            <v>50</v>
          </cell>
          <cell r="I27">
            <v>1.7</v>
          </cell>
          <cell r="J27">
            <v>4.6500000000000004</v>
          </cell>
        </row>
        <row r="28">
          <cell r="A28" t="str">
            <v>6/G</v>
          </cell>
          <cell r="B28" t="str">
            <v>გობი ერგონომიური სახელურებით მწვანე - L</v>
          </cell>
          <cell r="C28" t="str">
            <v>ცალი</v>
          </cell>
          <cell r="D28" t="str">
            <v>წარმოება</v>
          </cell>
          <cell r="E28" t="str">
            <v>ტაშტი/ვარცლი</v>
          </cell>
          <cell r="F28" t="str">
            <v>ჩვეულებრივი</v>
          </cell>
          <cell r="G28">
            <v>10</v>
          </cell>
          <cell r="H28">
            <v>50</v>
          </cell>
          <cell r="I28">
            <v>1.7</v>
          </cell>
          <cell r="J28">
            <v>4.6500000000000004</v>
          </cell>
        </row>
        <row r="29">
          <cell r="A29" t="str">
            <v>6/DB</v>
          </cell>
          <cell r="B29" t="str">
            <v>გობი ერგონომიური სახელურებით ლურჯი - L</v>
          </cell>
          <cell r="C29" t="str">
            <v>ცალი</v>
          </cell>
          <cell r="D29" t="str">
            <v>წარმოება</v>
          </cell>
          <cell r="E29" t="str">
            <v>ტაშტი/ვარცლი</v>
          </cell>
          <cell r="F29" t="str">
            <v>ჩვეულებრივი</v>
          </cell>
          <cell r="G29">
            <v>26</v>
          </cell>
          <cell r="H29">
            <v>50</v>
          </cell>
          <cell r="I29">
            <v>1.7</v>
          </cell>
          <cell r="J29">
            <v>4.6500000000000004</v>
          </cell>
        </row>
        <row r="30">
          <cell r="A30" t="str">
            <v>5/DB</v>
          </cell>
          <cell r="B30" t="str">
            <v>უნივერსალური ვარცლი ლურჯი</v>
          </cell>
          <cell r="C30" t="str">
            <v>ცალი</v>
          </cell>
          <cell r="D30" t="str">
            <v>წარმოება</v>
          </cell>
          <cell r="E30" t="str">
            <v>ტაშტი/ვარცლი</v>
          </cell>
          <cell r="F30" t="str">
            <v>ჩვეულებრივი</v>
          </cell>
          <cell r="G30">
            <v>0</v>
          </cell>
          <cell r="H30">
            <v>50</v>
          </cell>
          <cell r="I30">
            <v>0</v>
          </cell>
          <cell r="J30">
            <v>8.5</v>
          </cell>
        </row>
        <row r="31">
          <cell r="A31" t="str">
            <v>5/1/BL</v>
          </cell>
          <cell r="B31" t="str">
            <v>ინდუსტრიული ვარცლი შავი</v>
          </cell>
          <cell r="C31" t="str">
            <v>ცალი</v>
          </cell>
          <cell r="D31" t="str">
            <v>წარმოება</v>
          </cell>
          <cell r="E31" t="str">
            <v>ტაშტი/ვარცლი</v>
          </cell>
          <cell r="F31" t="str">
            <v>ჩვეულებრივი</v>
          </cell>
          <cell r="G31">
            <v>0</v>
          </cell>
          <cell r="H31">
            <v>50</v>
          </cell>
          <cell r="I31">
            <v>0</v>
          </cell>
          <cell r="J31">
            <v>12.75</v>
          </cell>
        </row>
        <row r="32">
          <cell r="A32" t="str">
            <v>35/R</v>
          </cell>
          <cell r="B32" t="str">
            <v>დიდი ჯამი წითელი - M</v>
          </cell>
          <cell r="C32" t="str">
            <v>ცალი</v>
          </cell>
          <cell r="D32" t="str">
            <v>წარმოება</v>
          </cell>
          <cell r="E32" t="str">
            <v>სხვა და სხვა</v>
          </cell>
          <cell r="F32" t="str">
            <v>ჩვეულებრივი</v>
          </cell>
          <cell r="G32">
            <v>0</v>
          </cell>
          <cell r="H32">
            <v>50</v>
          </cell>
          <cell r="I32">
            <v>0</v>
          </cell>
          <cell r="J32">
            <v>2.65</v>
          </cell>
        </row>
        <row r="33">
          <cell r="A33" t="str">
            <v>35/Y</v>
          </cell>
          <cell r="B33" t="str">
            <v>დიდი ჯამი ყვითელი - M</v>
          </cell>
          <cell r="C33" t="str">
            <v>ცალი</v>
          </cell>
          <cell r="D33" t="str">
            <v>წარმოება</v>
          </cell>
          <cell r="E33" t="str">
            <v>სხვა და სხვა</v>
          </cell>
          <cell r="F33" t="str">
            <v>ჩვეულებრივი</v>
          </cell>
          <cell r="G33">
            <v>0</v>
          </cell>
          <cell r="H33">
            <v>50</v>
          </cell>
          <cell r="I33">
            <v>0</v>
          </cell>
          <cell r="J33">
            <v>2.65</v>
          </cell>
        </row>
        <row r="34">
          <cell r="A34" t="str">
            <v>35/DB</v>
          </cell>
          <cell r="B34" t="str">
            <v>დიდი ჯამი ლურჯი - M</v>
          </cell>
          <cell r="C34" t="str">
            <v>ცალი</v>
          </cell>
          <cell r="D34" t="str">
            <v>წარმოება</v>
          </cell>
          <cell r="E34" t="str">
            <v>სხვა და სხვა</v>
          </cell>
          <cell r="F34" t="str">
            <v>ჩვეულებრივი</v>
          </cell>
          <cell r="G34">
            <v>0</v>
          </cell>
          <cell r="H34">
            <v>50</v>
          </cell>
          <cell r="I34">
            <v>0</v>
          </cell>
          <cell r="J34">
            <v>2.65</v>
          </cell>
        </row>
        <row r="35">
          <cell r="A35" t="str">
            <v>35/P</v>
          </cell>
          <cell r="B35" t="str">
            <v>დიდი ჯამი იასამნისფერი - M</v>
          </cell>
          <cell r="C35" t="str">
            <v>ცალი</v>
          </cell>
          <cell r="D35" t="str">
            <v>წარმოება</v>
          </cell>
          <cell r="E35" t="str">
            <v>სხვა და სხვა</v>
          </cell>
          <cell r="F35" t="str">
            <v>ჩვეულებრივი</v>
          </cell>
          <cell r="G35">
            <v>0</v>
          </cell>
          <cell r="H35">
            <v>50</v>
          </cell>
          <cell r="I35">
            <v>0</v>
          </cell>
          <cell r="J35">
            <v>2.65</v>
          </cell>
        </row>
        <row r="36">
          <cell r="A36" t="str">
            <v>25/BL</v>
          </cell>
          <cell r="B36" t="str">
            <v>დეკორატიული ღობე</v>
          </cell>
          <cell r="C36" t="str">
            <v>ცალი</v>
          </cell>
          <cell r="D36" t="str">
            <v>წარმოება</v>
          </cell>
          <cell r="E36" t="str">
            <v>სხვა და სხვა</v>
          </cell>
          <cell r="F36" t="str">
            <v>ჩვეულებრივი</v>
          </cell>
          <cell r="G36">
            <v>1</v>
          </cell>
          <cell r="H36">
            <v>50</v>
          </cell>
          <cell r="I36">
            <v>5</v>
          </cell>
          <cell r="J36">
            <v>13</v>
          </cell>
        </row>
        <row r="37">
          <cell r="A37" t="str">
            <v>24/R</v>
          </cell>
          <cell r="B37" t="str">
            <v>პლასტმასის ბოცის თავსახური წითელი</v>
          </cell>
          <cell r="C37" t="str">
            <v>ცალი</v>
          </cell>
          <cell r="D37" t="str">
            <v>წარმოება</v>
          </cell>
          <cell r="E37" t="str">
            <v>სხვა და სხვა</v>
          </cell>
          <cell r="F37" t="str">
            <v>ჩვეულებრივი</v>
          </cell>
          <cell r="G37">
            <v>0</v>
          </cell>
          <cell r="H37">
            <v>50</v>
          </cell>
          <cell r="I37">
            <v>0</v>
          </cell>
          <cell r="J37">
            <v>0.8</v>
          </cell>
        </row>
        <row r="38">
          <cell r="A38" t="str">
            <v>24/BL</v>
          </cell>
          <cell r="B38" t="str">
            <v>პლასტმასის ბოცის თავსახური შავი</v>
          </cell>
          <cell r="C38" t="str">
            <v>ცალი</v>
          </cell>
          <cell r="D38" t="str">
            <v>წარმოება</v>
          </cell>
          <cell r="E38" t="str">
            <v>სხვა და სხვა</v>
          </cell>
          <cell r="F38" t="str">
            <v>ჩვეულებრივი</v>
          </cell>
          <cell r="G38">
            <v>0</v>
          </cell>
          <cell r="H38">
            <v>50</v>
          </cell>
          <cell r="I38">
            <v>0</v>
          </cell>
          <cell r="J38">
            <v>0.8</v>
          </cell>
        </row>
        <row r="39">
          <cell r="A39" t="str">
            <v>24/G</v>
          </cell>
          <cell r="B39" t="str">
            <v>პლასტმასის ბოცის თავსახური მწვანე</v>
          </cell>
          <cell r="C39" t="str">
            <v>ცალი</v>
          </cell>
          <cell r="D39" t="str">
            <v>წარმოება</v>
          </cell>
          <cell r="E39" t="str">
            <v>სხვა და სხვა</v>
          </cell>
          <cell r="F39" t="str">
            <v>ჩვეულებრივი</v>
          </cell>
          <cell r="G39">
            <v>0</v>
          </cell>
          <cell r="H39">
            <v>50</v>
          </cell>
          <cell r="I39">
            <v>0</v>
          </cell>
          <cell r="J39">
            <v>0.8</v>
          </cell>
        </row>
        <row r="40">
          <cell r="A40" t="str">
            <v>24/DB</v>
          </cell>
          <cell r="B40" t="str">
            <v>პლასტმასის ბოცის თავსახური ლურჯი</v>
          </cell>
          <cell r="C40" t="str">
            <v>ცალი</v>
          </cell>
          <cell r="D40" t="str">
            <v>წარმოება</v>
          </cell>
          <cell r="E40" t="str">
            <v>სხვა და სხვა</v>
          </cell>
          <cell r="F40" t="str">
            <v>ჩვეულებრივი</v>
          </cell>
          <cell r="G40">
            <v>0</v>
          </cell>
          <cell r="H40">
            <v>50</v>
          </cell>
          <cell r="I40">
            <v>0</v>
          </cell>
          <cell r="J40">
            <v>0.8</v>
          </cell>
        </row>
        <row r="41">
          <cell r="A41" t="str">
            <v>24/W</v>
          </cell>
          <cell r="B41" t="str">
            <v>პლასტმასის ბოცის თავსახური თეთრი</v>
          </cell>
          <cell r="C41" t="str">
            <v>ცალი</v>
          </cell>
          <cell r="D41" t="str">
            <v>წარმოება</v>
          </cell>
          <cell r="E41" t="str">
            <v>სხვა და სხვა</v>
          </cell>
          <cell r="F41" t="str">
            <v>ჩვეულებრივი</v>
          </cell>
          <cell r="G41">
            <v>0</v>
          </cell>
          <cell r="H41">
            <v>50</v>
          </cell>
          <cell r="I41">
            <v>0</v>
          </cell>
          <cell r="J41">
            <v>0.8</v>
          </cell>
        </row>
        <row r="42">
          <cell r="A42" t="str">
            <v>34/R</v>
          </cell>
          <cell r="B42" t="str">
            <v>პატარა ჯამი წითელი - S</v>
          </cell>
          <cell r="C42" t="str">
            <v>ცალი</v>
          </cell>
          <cell r="D42" t="str">
            <v>წარმოება</v>
          </cell>
          <cell r="E42" t="str">
            <v>სხვა და სხვა</v>
          </cell>
          <cell r="F42" t="str">
            <v>ჩვეულებრივი</v>
          </cell>
          <cell r="G42">
            <v>0</v>
          </cell>
          <cell r="H42">
            <v>50</v>
          </cell>
          <cell r="I42">
            <v>0</v>
          </cell>
          <cell r="J42">
            <v>2.4</v>
          </cell>
        </row>
        <row r="43">
          <cell r="A43" t="str">
            <v>34/G</v>
          </cell>
          <cell r="B43" t="str">
            <v>პატარა ჯამი მწვანე- S</v>
          </cell>
          <cell r="C43" t="str">
            <v>ცალი</v>
          </cell>
          <cell r="D43" t="str">
            <v>წარმოება</v>
          </cell>
          <cell r="E43" t="str">
            <v>სხვა და სხვა</v>
          </cell>
          <cell r="F43" t="str">
            <v>ჩვეულებრივი</v>
          </cell>
          <cell r="G43">
            <v>0</v>
          </cell>
          <cell r="H43">
            <v>50</v>
          </cell>
          <cell r="I43">
            <v>0</v>
          </cell>
          <cell r="J43">
            <v>2.4</v>
          </cell>
        </row>
        <row r="44">
          <cell r="A44" t="str">
            <v>34/DB</v>
          </cell>
          <cell r="B44" t="str">
            <v>პატარა ჯამი ლურჯი - S</v>
          </cell>
          <cell r="C44" t="str">
            <v>ცალი</v>
          </cell>
          <cell r="D44" t="str">
            <v>წარმოება</v>
          </cell>
          <cell r="E44" t="str">
            <v>სხვა და სხვა</v>
          </cell>
          <cell r="F44" t="str">
            <v>ჩვეულებრივი</v>
          </cell>
          <cell r="G44">
            <v>0</v>
          </cell>
          <cell r="H44">
            <v>50</v>
          </cell>
          <cell r="I44">
            <v>0</v>
          </cell>
          <cell r="J44">
            <v>2.4</v>
          </cell>
        </row>
        <row r="45">
          <cell r="A45" t="str">
            <v>34/P</v>
          </cell>
          <cell r="B45" t="str">
            <v>პატარა ჯამი იასამნისფერი - S</v>
          </cell>
          <cell r="C45" t="str">
            <v>ცალი</v>
          </cell>
          <cell r="D45" t="str">
            <v>წარმოება</v>
          </cell>
          <cell r="E45" t="str">
            <v>სხვა და სხვა</v>
          </cell>
          <cell r="F45" t="str">
            <v>ჩვეულებრივი</v>
          </cell>
          <cell r="G45">
            <v>0</v>
          </cell>
          <cell r="H45">
            <v>50</v>
          </cell>
          <cell r="I45">
            <v>0</v>
          </cell>
          <cell r="J45">
            <v>2.4</v>
          </cell>
        </row>
        <row r="46">
          <cell r="A46" t="str">
            <v>4/DB</v>
          </cell>
          <cell r="B46" t="str">
            <v>მრგვალი ვარცლი ლურჯი - S</v>
          </cell>
          <cell r="C46" t="str">
            <v>ცალი</v>
          </cell>
          <cell r="D46" t="str">
            <v>წარმოება</v>
          </cell>
          <cell r="E46" t="str">
            <v>ტაშტი/ვარცლი</v>
          </cell>
          <cell r="F46" t="str">
            <v>ჩვეულებრივი</v>
          </cell>
          <cell r="G46">
            <v>50</v>
          </cell>
          <cell r="H46">
            <v>50</v>
          </cell>
          <cell r="I46">
            <v>1.8</v>
          </cell>
          <cell r="J46">
            <v>3.5</v>
          </cell>
        </row>
        <row r="47">
          <cell r="A47" t="str">
            <v>14/DB</v>
          </cell>
          <cell r="B47" t="str">
            <v>მრგვალი ვარცლი ლურჯი - M</v>
          </cell>
          <cell r="C47" t="str">
            <v>ცალი</v>
          </cell>
          <cell r="D47" t="str">
            <v>წარმოება</v>
          </cell>
          <cell r="E47" t="str">
            <v>ტაშტი/ვარცლი</v>
          </cell>
          <cell r="F47" t="str">
            <v>ჩვეულებრივი</v>
          </cell>
          <cell r="G47">
            <v>0</v>
          </cell>
          <cell r="H47">
            <v>50</v>
          </cell>
          <cell r="I47">
            <v>0</v>
          </cell>
          <cell r="J47">
            <v>4.25</v>
          </cell>
        </row>
        <row r="48">
          <cell r="A48" t="str">
            <v>13/BL</v>
          </cell>
          <cell r="B48" t="str">
            <v>პლასტმასის სათლი "სმარტი" შავი</v>
          </cell>
          <cell r="C48" t="str">
            <v>ცალი</v>
          </cell>
          <cell r="D48" t="str">
            <v>წარმოება</v>
          </cell>
          <cell r="E48" t="str">
            <v>ვედრო</v>
          </cell>
          <cell r="F48" t="str">
            <v>ჩვეულებრივი</v>
          </cell>
          <cell r="G48">
            <v>25</v>
          </cell>
          <cell r="H48">
            <v>50</v>
          </cell>
          <cell r="I48">
            <v>1.2</v>
          </cell>
          <cell r="J48">
            <v>3</v>
          </cell>
        </row>
        <row r="49">
          <cell r="A49" t="str">
            <v>3/DB</v>
          </cell>
          <cell r="B49" t="str">
            <v>ოვალური ვარცლი ლურჯი - S</v>
          </cell>
          <cell r="C49" t="str">
            <v>ცალი</v>
          </cell>
          <cell r="D49" t="str">
            <v>წარმოება</v>
          </cell>
          <cell r="E49" t="str">
            <v>ტაშტი/ვარცლი</v>
          </cell>
          <cell r="F49" t="str">
            <v>ჩვეულებრივი</v>
          </cell>
          <cell r="G49">
            <v>49</v>
          </cell>
          <cell r="H49">
            <v>50</v>
          </cell>
          <cell r="I49">
            <v>2.5</v>
          </cell>
          <cell r="J49">
            <v>5.45</v>
          </cell>
        </row>
        <row r="50">
          <cell r="A50" t="str">
            <v>42/BL</v>
          </cell>
          <cell r="B50" t="str">
            <v>ქოთანი "კონუსი" შავი</v>
          </cell>
          <cell r="C50" t="str">
            <v>ცალი</v>
          </cell>
          <cell r="D50" t="str">
            <v>წარმოება</v>
          </cell>
          <cell r="E50" t="str">
            <v>სხვა და სხვა</v>
          </cell>
          <cell r="F50" t="str">
            <v>ჩვეულებრივი</v>
          </cell>
          <cell r="G50">
            <v>22</v>
          </cell>
          <cell r="H50">
            <v>50</v>
          </cell>
          <cell r="I50">
            <v>0.4</v>
          </cell>
          <cell r="J50">
            <v>1.8</v>
          </cell>
        </row>
        <row r="51">
          <cell r="A51" t="str">
            <v>42/G</v>
          </cell>
          <cell r="B51" t="str">
            <v>ქოთანი "კონუსი" მწვანე</v>
          </cell>
          <cell r="C51" t="str">
            <v>ცალი</v>
          </cell>
          <cell r="D51" t="str">
            <v>წარმოება</v>
          </cell>
          <cell r="E51" t="str">
            <v>სხვა და სხვა</v>
          </cell>
          <cell r="F51" t="str">
            <v>ჩვეულებრივი</v>
          </cell>
          <cell r="G51">
            <v>0</v>
          </cell>
          <cell r="H51">
            <v>50</v>
          </cell>
          <cell r="I51">
            <v>0</v>
          </cell>
          <cell r="J51">
            <v>1.8</v>
          </cell>
        </row>
        <row r="52">
          <cell r="A52" t="str">
            <v>42/P</v>
          </cell>
          <cell r="B52" t="str">
            <v xml:space="preserve">ქოთანი "კონუსი" იასამნისფერი </v>
          </cell>
          <cell r="C52" t="str">
            <v>ცალი</v>
          </cell>
          <cell r="D52" t="str">
            <v>წარმოება</v>
          </cell>
          <cell r="E52" t="str">
            <v>სხვა და სხვა</v>
          </cell>
          <cell r="F52" t="str">
            <v>ჩვეულებრივი</v>
          </cell>
          <cell r="G52">
            <v>0</v>
          </cell>
          <cell r="H52">
            <v>50</v>
          </cell>
          <cell r="I52">
            <v>0</v>
          </cell>
          <cell r="J52">
            <v>1.8</v>
          </cell>
        </row>
        <row r="53">
          <cell r="A53" t="str">
            <v>22/R</v>
          </cell>
          <cell r="B53" t="str">
            <v>საწური წითელი</v>
          </cell>
          <cell r="C53" t="str">
            <v>ცალი</v>
          </cell>
          <cell r="D53" t="str">
            <v>წარმოება</v>
          </cell>
          <cell r="E53" t="str">
            <v>სხვა და სხვა</v>
          </cell>
          <cell r="F53" t="str">
            <v>ჩვეულებრივი</v>
          </cell>
          <cell r="G53">
            <v>10</v>
          </cell>
          <cell r="H53">
            <v>50</v>
          </cell>
          <cell r="I53">
            <v>1.2</v>
          </cell>
          <cell r="J53">
            <v>3</v>
          </cell>
        </row>
        <row r="54">
          <cell r="A54" t="str">
            <v>22/G</v>
          </cell>
          <cell r="B54" t="str">
            <v>საწური მწვანე</v>
          </cell>
          <cell r="C54" t="str">
            <v>ცალი</v>
          </cell>
          <cell r="D54" t="str">
            <v>წარმოება</v>
          </cell>
          <cell r="E54" t="str">
            <v>სხვა და სხვა</v>
          </cell>
          <cell r="F54" t="str">
            <v>ჩვეულებრივი</v>
          </cell>
          <cell r="G54">
            <v>10</v>
          </cell>
          <cell r="H54">
            <v>50</v>
          </cell>
          <cell r="I54">
            <v>1.2</v>
          </cell>
          <cell r="J54">
            <v>3</v>
          </cell>
        </row>
        <row r="55">
          <cell r="A55" t="str">
            <v>22/DB</v>
          </cell>
          <cell r="B55" t="str">
            <v>საწური ლურჯი</v>
          </cell>
          <cell r="C55" t="str">
            <v>ცალი</v>
          </cell>
          <cell r="D55" t="str">
            <v>წარმოება</v>
          </cell>
          <cell r="E55" t="str">
            <v>სხვა და სხვა</v>
          </cell>
          <cell r="F55" t="str">
            <v>ჩვეულებრივი</v>
          </cell>
          <cell r="G55">
            <v>10</v>
          </cell>
          <cell r="H55">
            <v>50</v>
          </cell>
          <cell r="I55">
            <v>1.2</v>
          </cell>
          <cell r="J55">
            <v>3</v>
          </cell>
        </row>
        <row r="56">
          <cell r="A56" t="str">
            <v>22/P</v>
          </cell>
          <cell r="B56" t="str">
            <v>საწური იასამნისფერი</v>
          </cell>
          <cell r="C56" t="str">
            <v>ცალი</v>
          </cell>
          <cell r="D56" t="str">
            <v>წარმოება</v>
          </cell>
          <cell r="E56" t="str">
            <v>სხვა და სხვა</v>
          </cell>
          <cell r="F56" t="str">
            <v>ჩვეულებრივი</v>
          </cell>
          <cell r="G56">
            <v>0</v>
          </cell>
          <cell r="H56">
            <v>50</v>
          </cell>
          <cell r="I56">
            <v>0</v>
          </cell>
          <cell r="J56">
            <v>3</v>
          </cell>
        </row>
        <row r="57">
          <cell r="A57" t="str">
            <v>12/DB</v>
          </cell>
          <cell r="B57" t="str">
            <v>პლასტმასის სათლი თავსახურით "ჰიდრო მინი" ლურჯი</v>
          </cell>
          <cell r="C57" t="str">
            <v>ცალი</v>
          </cell>
          <cell r="D57" t="str">
            <v>წარმოება</v>
          </cell>
          <cell r="E57" t="str">
            <v>ვედრო</v>
          </cell>
          <cell r="F57" t="str">
            <v>ჩვეულებრივი</v>
          </cell>
          <cell r="G57">
            <v>0</v>
          </cell>
          <cell r="H57">
            <v>50</v>
          </cell>
          <cell r="I57">
            <v>0</v>
          </cell>
          <cell r="J57">
            <v>6.4</v>
          </cell>
        </row>
        <row r="58">
          <cell r="A58" t="str">
            <v>2/DB</v>
          </cell>
          <cell r="B58" t="str">
            <v>ოვალური ვარცლი ლურჯი - M</v>
          </cell>
          <cell r="C58" t="str">
            <v>ცალი</v>
          </cell>
          <cell r="D58" t="str">
            <v>წარმოება</v>
          </cell>
          <cell r="E58" t="str">
            <v>ტაშტი/ვარცლი</v>
          </cell>
          <cell r="F58" t="str">
            <v>ჩვეულებრივი</v>
          </cell>
          <cell r="G58">
            <v>46</v>
          </cell>
          <cell r="H58">
            <v>50</v>
          </cell>
          <cell r="I58">
            <v>2.7</v>
          </cell>
          <cell r="J58">
            <v>5.95</v>
          </cell>
        </row>
        <row r="59">
          <cell r="A59" t="str">
            <v>32/BL</v>
          </cell>
          <cell r="B59" t="str">
            <v>ნიჩაბი შავი</v>
          </cell>
          <cell r="C59" t="str">
            <v>ცალი</v>
          </cell>
          <cell r="D59" t="str">
            <v>წარმოება</v>
          </cell>
          <cell r="E59" t="str">
            <v>სხვა და სხვა</v>
          </cell>
          <cell r="F59" t="str">
            <v>ჩვეულებრივი</v>
          </cell>
          <cell r="G59">
            <v>19</v>
          </cell>
          <cell r="H59">
            <v>50</v>
          </cell>
          <cell r="I59">
            <v>2.5</v>
          </cell>
          <cell r="J59">
            <v>6.5</v>
          </cell>
        </row>
        <row r="60">
          <cell r="A60" t="str">
            <v>11/DB</v>
          </cell>
          <cell r="B60" t="str">
            <v>გობი სახელურის გარეშე ლურჯი - XL</v>
          </cell>
          <cell r="C60" t="str">
            <v>ცალი</v>
          </cell>
          <cell r="D60" t="str">
            <v>წარმოება</v>
          </cell>
          <cell r="E60" t="str">
            <v>ტაშტი/ვარცლი</v>
          </cell>
          <cell r="F60" t="str">
            <v>ჩვეულებრივი</v>
          </cell>
          <cell r="G60">
            <v>24</v>
          </cell>
          <cell r="H60">
            <v>50</v>
          </cell>
          <cell r="I60">
            <v>1.5</v>
          </cell>
          <cell r="J60">
            <v>5.45</v>
          </cell>
        </row>
        <row r="61">
          <cell r="A61" t="str">
            <v>10-1/BL</v>
          </cell>
          <cell r="B61" t="str">
            <v>(დიდი) სანერგე ქოთანი დრენაჟით შავი</v>
          </cell>
          <cell r="C61" t="str">
            <v>ცალი</v>
          </cell>
          <cell r="D61" t="str">
            <v>წარმოება</v>
          </cell>
          <cell r="E61" t="str">
            <v>სხვა და სხვა</v>
          </cell>
          <cell r="F61" t="str">
            <v>ჩვეულებრივი</v>
          </cell>
          <cell r="G61">
            <v>23</v>
          </cell>
          <cell r="H61">
            <v>50</v>
          </cell>
          <cell r="I61">
            <v>1.2</v>
          </cell>
          <cell r="J61">
            <v>2.75</v>
          </cell>
        </row>
        <row r="62">
          <cell r="A62" t="str">
            <v>17/1/G</v>
          </cell>
          <cell r="B62" t="str">
            <v>ოვალური აქანდაზი მწვანე</v>
          </cell>
          <cell r="C62" t="str">
            <v>ცალი</v>
          </cell>
          <cell r="D62" t="str">
            <v>წარმოება</v>
          </cell>
          <cell r="E62" t="str">
            <v>სხვა და სხვა</v>
          </cell>
          <cell r="F62" t="str">
            <v>ჩვეულებრივი</v>
          </cell>
          <cell r="G62">
            <v>0</v>
          </cell>
          <cell r="H62">
            <v>50</v>
          </cell>
          <cell r="I62">
            <v>0</v>
          </cell>
          <cell r="J62">
            <v>1.7</v>
          </cell>
        </row>
        <row r="63">
          <cell r="A63" t="str">
            <v>1/DB</v>
          </cell>
          <cell r="B63" t="str">
            <v>ოვალური ვარცლი ლურჯი - L</v>
          </cell>
          <cell r="C63" t="str">
            <v>ცალი</v>
          </cell>
          <cell r="D63" t="str">
            <v>წარმოება</v>
          </cell>
          <cell r="E63" t="str">
            <v>ტაშტი/ვარცლი</v>
          </cell>
          <cell r="F63" t="str">
            <v>ჩვეულებრივი</v>
          </cell>
          <cell r="G63">
            <v>44</v>
          </cell>
          <cell r="H63">
            <v>50</v>
          </cell>
          <cell r="I63">
            <v>3</v>
          </cell>
          <cell r="J63">
            <v>6.5</v>
          </cell>
        </row>
        <row r="64">
          <cell r="A64" t="str">
            <v>21/P</v>
          </cell>
          <cell r="B64" t="str">
            <v>პლასტმასის სერვირების ლანგარი იასამნისფერი</v>
          </cell>
          <cell r="C64" t="str">
            <v>ცალი</v>
          </cell>
          <cell r="D64" t="str">
            <v>წარმოება</v>
          </cell>
          <cell r="E64" t="str">
            <v>სხვა და სხვა</v>
          </cell>
          <cell r="F64" t="str">
            <v>ჩვეულებრივი</v>
          </cell>
          <cell r="G64">
            <v>10</v>
          </cell>
          <cell r="H64">
            <v>50</v>
          </cell>
          <cell r="I64">
            <v>1.4</v>
          </cell>
          <cell r="J64">
            <v>2.75</v>
          </cell>
        </row>
        <row r="65">
          <cell r="A65" t="str">
            <v>21/DB</v>
          </cell>
          <cell r="B65" t="str">
            <v>პლასტმასის სერვირების ლანგარი ლურჯი</v>
          </cell>
          <cell r="C65" t="str">
            <v>ცალი</v>
          </cell>
          <cell r="D65" t="str">
            <v>წარმოება</v>
          </cell>
          <cell r="E65" t="str">
            <v>სხვა და სხვა</v>
          </cell>
          <cell r="F65" t="str">
            <v>ჩვეულებრივი</v>
          </cell>
          <cell r="G65">
            <v>10</v>
          </cell>
          <cell r="H65">
            <v>50</v>
          </cell>
          <cell r="I65">
            <v>1.4</v>
          </cell>
          <cell r="J65">
            <v>2.75</v>
          </cell>
        </row>
        <row r="66">
          <cell r="A66" t="str">
            <v>21/G</v>
          </cell>
          <cell r="B66" t="str">
            <v>პლასტმასის სერვირების ლანგარი მწვანე</v>
          </cell>
          <cell r="C66" t="str">
            <v>ცალი</v>
          </cell>
          <cell r="D66" t="str">
            <v>წარმოება</v>
          </cell>
          <cell r="E66" t="str">
            <v>სხვა და სხვა</v>
          </cell>
          <cell r="F66" t="str">
            <v>ჩვეულებრივი</v>
          </cell>
          <cell r="G66">
            <v>10</v>
          </cell>
          <cell r="H66">
            <v>50</v>
          </cell>
          <cell r="I66">
            <v>1.4</v>
          </cell>
          <cell r="J66">
            <v>2.75</v>
          </cell>
        </row>
        <row r="67">
          <cell r="A67" t="str">
            <v>13/1/BL</v>
          </cell>
          <cell r="B67" t="str">
            <v>ცილინდრული სათლი შავი</v>
          </cell>
          <cell r="C67" t="str">
            <v>ცალი</v>
          </cell>
          <cell r="D67" t="str">
            <v>წარმოება</v>
          </cell>
          <cell r="E67" t="str">
            <v>ვედრო</v>
          </cell>
          <cell r="F67" t="str">
            <v>ჩვეულებრივი</v>
          </cell>
          <cell r="G67">
            <v>8</v>
          </cell>
          <cell r="H67">
            <v>50</v>
          </cell>
          <cell r="I67">
            <v>0.5</v>
          </cell>
          <cell r="J67">
            <v>2.25</v>
          </cell>
        </row>
        <row r="68">
          <cell r="A68" t="str">
            <v>74/BL</v>
          </cell>
          <cell r="B68" t="str">
            <v>ხილ-ბოსტნეულის ბადისებრი ყუთი შავი</v>
          </cell>
          <cell r="C68" t="str">
            <v>ცალი</v>
          </cell>
          <cell r="D68" t="str">
            <v>წარმოება</v>
          </cell>
          <cell r="E68" t="str">
            <v>ყუთები</v>
          </cell>
          <cell r="F68" t="str">
            <v>ჩვეულებრივი</v>
          </cell>
          <cell r="G68">
            <v>0</v>
          </cell>
          <cell r="H68">
            <v>50</v>
          </cell>
          <cell r="I68">
            <v>0</v>
          </cell>
          <cell r="J68">
            <v>2.5</v>
          </cell>
        </row>
        <row r="69">
          <cell r="A69" t="str">
            <v>60/BL</v>
          </cell>
          <cell r="B69" t="str">
            <v>ქილების სეპარატორი შავი</v>
          </cell>
          <cell r="C69" t="str">
            <v>ცალი</v>
          </cell>
          <cell r="D69" t="str">
            <v>წარმოება</v>
          </cell>
          <cell r="E69" t="str">
            <v>ყუთები</v>
          </cell>
          <cell r="F69" t="str">
            <v>ჩვეულებრივი</v>
          </cell>
          <cell r="G69">
            <v>1</v>
          </cell>
          <cell r="H69">
            <v>50</v>
          </cell>
          <cell r="I69">
            <v>3</v>
          </cell>
          <cell r="J69">
            <v>10</v>
          </cell>
        </row>
        <row r="70">
          <cell r="A70" t="str">
            <v>60/DB</v>
          </cell>
          <cell r="B70" t="str">
            <v>ქილების სეპარატორი ლურჯი</v>
          </cell>
          <cell r="C70" t="str">
            <v>ცალი</v>
          </cell>
          <cell r="D70" t="str">
            <v>წარმოება</v>
          </cell>
          <cell r="E70" t="str">
            <v>ყუთები</v>
          </cell>
          <cell r="F70" t="str">
            <v>ჩვეულებრივი</v>
          </cell>
          <cell r="G70">
            <v>0</v>
          </cell>
          <cell r="H70">
            <v>50</v>
          </cell>
          <cell r="I70">
            <v>0</v>
          </cell>
          <cell r="J70">
            <v>10</v>
          </cell>
        </row>
        <row r="71">
          <cell r="A71" t="str">
            <v>50/R</v>
          </cell>
          <cell r="B71" t="str">
            <v>სითხეგაუმტარი ევრო ყუთი წითელი - S</v>
          </cell>
          <cell r="C71" t="str">
            <v>ცალი</v>
          </cell>
          <cell r="D71" t="str">
            <v>წარმოება</v>
          </cell>
          <cell r="E71" t="str">
            <v>ყუთები</v>
          </cell>
          <cell r="F71" t="str">
            <v>ჩვეულებრივი</v>
          </cell>
          <cell r="G71">
            <v>0</v>
          </cell>
          <cell r="H71">
            <v>50</v>
          </cell>
          <cell r="I71">
            <v>0</v>
          </cell>
          <cell r="J71">
            <v>35</v>
          </cell>
        </row>
        <row r="72">
          <cell r="A72" t="str">
            <v>47/R</v>
          </cell>
          <cell r="B72" t="str">
            <v>სითხეგაუმტარი ევრო ყუთი წითელი - M</v>
          </cell>
          <cell r="C72" t="str">
            <v>ცალი</v>
          </cell>
          <cell r="D72" t="str">
            <v>წარმოება</v>
          </cell>
          <cell r="E72" t="str">
            <v>ყუთები</v>
          </cell>
          <cell r="F72" t="str">
            <v>ჩვეულებრივი</v>
          </cell>
          <cell r="G72">
            <v>0</v>
          </cell>
          <cell r="H72">
            <v>50</v>
          </cell>
          <cell r="I72">
            <v>0</v>
          </cell>
          <cell r="J72">
            <v>37</v>
          </cell>
        </row>
        <row r="73">
          <cell r="A73" t="str">
            <v>49/R</v>
          </cell>
          <cell r="B73" t="str">
            <v>სითხეგაუმტარი ევრო ყუთი წითელი- L</v>
          </cell>
          <cell r="C73" t="str">
            <v>ცალი</v>
          </cell>
          <cell r="D73" t="str">
            <v>წარმოება</v>
          </cell>
          <cell r="E73" t="str">
            <v>ყუთები</v>
          </cell>
          <cell r="F73" t="str">
            <v>ჩვეულებრივი</v>
          </cell>
          <cell r="G73">
            <v>0</v>
          </cell>
          <cell r="H73">
            <v>50</v>
          </cell>
          <cell r="I73">
            <v>0</v>
          </cell>
          <cell r="J73">
            <v>40</v>
          </cell>
        </row>
        <row r="74">
          <cell r="A74" t="str">
            <v>50/BL</v>
          </cell>
          <cell r="B74" t="str">
            <v>სითხეგაუმტარი ევრო ყუთი შავი- S</v>
          </cell>
          <cell r="C74" t="str">
            <v>ცალი</v>
          </cell>
          <cell r="D74" t="str">
            <v>წარმოება</v>
          </cell>
          <cell r="E74" t="str">
            <v>ყუთები</v>
          </cell>
          <cell r="F74" t="str">
            <v>ჩვეულებრივი</v>
          </cell>
          <cell r="G74">
            <v>0</v>
          </cell>
          <cell r="H74">
            <v>50</v>
          </cell>
          <cell r="I74">
            <v>0</v>
          </cell>
          <cell r="J74">
            <v>35</v>
          </cell>
        </row>
        <row r="75">
          <cell r="A75" t="str">
            <v>47/BL</v>
          </cell>
          <cell r="B75" t="str">
            <v>სითხეგაუმტარი ევრო ყუთი შავი - M</v>
          </cell>
          <cell r="C75" t="str">
            <v>ცალი</v>
          </cell>
          <cell r="D75" t="str">
            <v>წარმოება</v>
          </cell>
          <cell r="E75" t="str">
            <v>ყუთები</v>
          </cell>
          <cell r="F75" t="str">
            <v>ჩვეულებრივი</v>
          </cell>
          <cell r="G75">
            <v>0</v>
          </cell>
          <cell r="H75">
            <v>50</v>
          </cell>
          <cell r="I75">
            <v>0</v>
          </cell>
          <cell r="J75">
            <v>37</v>
          </cell>
        </row>
        <row r="76">
          <cell r="A76" t="str">
            <v>49/BL</v>
          </cell>
          <cell r="B76" t="str">
            <v>სითხეგაუმტარი ევრო ყუთი შავი - L</v>
          </cell>
          <cell r="C76" t="str">
            <v>ცალი</v>
          </cell>
          <cell r="D76" t="str">
            <v>წარმოება</v>
          </cell>
          <cell r="E76" t="str">
            <v>ყუთები</v>
          </cell>
          <cell r="F76" t="str">
            <v>ჩვეულებრივი</v>
          </cell>
          <cell r="G76">
            <v>0</v>
          </cell>
          <cell r="H76">
            <v>50</v>
          </cell>
          <cell r="I76">
            <v>0</v>
          </cell>
          <cell r="J76">
            <v>40</v>
          </cell>
        </row>
        <row r="77">
          <cell r="A77" t="str">
            <v>47/Y</v>
          </cell>
          <cell r="B77" t="str">
            <v>სითხეგაუმტარი ევრო ყუთი ყვითელი - M</v>
          </cell>
          <cell r="C77" t="str">
            <v>ცალი</v>
          </cell>
          <cell r="D77" t="str">
            <v>წარმოება</v>
          </cell>
          <cell r="E77" t="str">
            <v>ყუთები</v>
          </cell>
          <cell r="F77" t="str">
            <v>ჩვეულებრივი</v>
          </cell>
          <cell r="G77">
            <v>0</v>
          </cell>
          <cell r="H77">
            <v>50</v>
          </cell>
          <cell r="I77">
            <v>0</v>
          </cell>
          <cell r="J77">
            <v>37</v>
          </cell>
        </row>
        <row r="78">
          <cell r="A78" t="str">
            <v>49/Y</v>
          </cell>
          <cell r="B78" t="str">
            <v>სითხეგაუმტარი ევრო ყუთი ყვითელი- L</v>
          </cell>
          <cell r="C78" t="str">
            <v>ცალი</v>
          </cell>
          <cell r="D78" t="str">
            <v>წარმოება</v>
          </cell>
          <cell r="E78" t="str">
            <v>ყუთები</v>
          </cell>
          <cell r="F78" t="str">
            <v>ჩვეულებრივი</v>
          </cell>
          <cell r="G78">
            <v>0</v>
          </cell>
          <cell r="H78">
            <v>50</v>
          </cell>
          <cell r="I78">
            <v>0</v>
          </cell>
          <cell r="J78">
            <v>40</v>
          </cell>
        </row>
        <row r="79">
          <cell r="A79" t="str">
            <v>47/O</v>
          </cell>
          <cell r="B79" t="str">
            <v>სითხეგაუმტარი ევრო ყუთი სტაფილოსფერი  - M</v>
          </cell>
          <cell r="C79" t="str">
            <v>ცალი</v>
          </cell>
          <cell r="D79" t="str">
            <v>წარმოება</v>
          </cell>
          <cell r="E79" t="str">
            <v>ყუთები</v>
          </cell>
          <cell r="F79" t="str">
            <v>ჩვეულებრივი</v>
          </cell>
          <cell r="G79">
            <v>0</v>
          </cell>
          <cell r="H79">
            <v>50</v>
          </cell>
          <cell r="I79">
            <v>0</v>
          </cell>
          <cell r="J79">
            <v>37</v>
          </cell>
        </row>
        <row r="80">
          <cell r="A80" t="str">
            <v>50/G</v>
          </cell>
          <cell r="B80" t="str">
            <v>სითხეგაუმტარი ევრო ყუთი მწვანე - S</v>
          </cell>
          <cell r="C80" t="str">
            <v>ცალი</v>
          </cell>
          <cell r="D80" t="str">
            <v>წარმოება</v>
          </cell>
          <cell r="E80" t="str">
            <v>ყუთები</v>
          </cell>
          <cell r="F80" t="str">
            <v>ჩვეულებრივი</v>
          </cell>
          <cell r="G80">
            <v>0</v>
          </cell>
          <cell r="H80">
            <v>50</v>
          </cell>
          <cell r="I80">
            <v>0</v>
          </cell>
          <cell r="J80">
            <v>35</v>
          </cell>
        </row>
        <row r="81">
          <cell r="A81" t="str">
            <v>47/G</v>
          </cell>
          <cell r="B81" t="str">
            <v>სითხეგაუმტარი ევრო ყუთი მწვანე - M</v>
          </cell>
          <cell r="C81" t="str">
            <v>ცალი</v>
          </cell>
          <cell r="D81" t="str">
            <v>წარმოება</v>
          </cell>
          <cell r="E81" t="str">
            <v>ყუთები</v>
          </cell>
          <cell r="F81" t="str">
            <v>ჩვეულებრივი</v>
          </cell>
          <cell r="G81">
            <v>0</v>
          </cell>
          <cell r="H81">
            <v>50</v>
          </cell>
          <cell r="I81">
            <v>0</v>
          </cell>
          <cell r="J81">
            <v>37</v>
          </cell>
        </row>
        <row r="82">
          <cell r="A82" t="str">
            <v>49/G</v>
          </cell>
          <cell r="B82" t="str">
            <v>სითხეგაუმტარი ევრო ყუთი მწვანე - L</v>
          </cell>
          <cell r="C82" t="str">
            <v>ცალი</v>
          </cell>
          <cell r="D82" t="str">
            <v>წარმოება</v>
          </cell>
          <cell r="E82" t="str">
            <v>ყუთები</v>
          </cell>
          <cell r="F82" t="str">
            <v>ჩვეულებრივი</v>
          </cell>
          <cell r="G82">
            <v>0</v>
          </cell>
          <cell r="H82">
            <v>50</v>
          </cell>
          <cell r="I82">
            <v>0</v>
          </cell>
          <cell r="J82">
            <v>40</v>
          </cell>
        </row>
        <row r="83">
          <cell r="A83" t="str">
            <v>50/DB</v>
          </cell>
          <cell r="B83" t="str">
            <v>სითხეგაუმტარი ევრო ყუთი ლურჯი - S</v>
          </cell>
          <cell r="C83" t="str">
            <v>ცალი</v>
          </cell>
          <cell r="D83" t="str">
            <v>წარმოება</v>
          </cell>
          <cell r="E83" t="str">
            <v>ყუთები</v>
          </cell>
          <cell r="F83" t="str">
            <v>ჩვეულებრივი</v>
          </cell>
          <cell r="G83">
            <v>0</v>
          </cell>
          <cell r="H83">
            <v>50</v>
          </cell>
          <cell r="I83">
            <v>0</v>
          </cell>
          <cell r="J83">
            <v>35</v>
          </cell>
        </row>
        <row r="84">
          <cell r="A84" t="str">
            <v>47/DB</v>
          </cell>
          <cell r="B84" t="str">
            <v>სითხეგაუმტარი ევრო ყუთი ლურჯი - M</v>
          </cell>
          <cell r="C84" t="str">
            <v>ცალი</v>
          </cell>
          <cell r="D84" t="str">
            <v>წარმოება</v>
          </cell>
          <cell r="E84" t="str">
            <v>ყუთები</v>
          </cell>
          <cell r="F84" t="str">
            <v>ჩვეულებრივი</v>
          </cell>
          <cell r="G84">
            <v>0</v>
          </cell>
          <cell r="H84">
            <v>50</v>
          </cell>
          <cell r="I84">
            <v>0</v>
          </cell>
          <cell r="J84">
            <v>37</v>
          </cell>
        </row>
        <row r="85">
          <cell r="A85" t="str">
            <v>49/DB</v>
          </cell>
          <cell r="B85" t="str">
            <v>სითხეგაუმტარი ევრო ყუთი ლურჯი- L</v>
          </cell>
          <cell r="C85" t="str">
            <v>ცალი</v>
          </cell>
          <cell r="D85" t="str">
            <v>წარმოება</v>
          </cell>
          <cell r="E85" t="str">
            <v>ყუთები</v>
          </cell>
          <cell r="F85" t="str">
            <v>ჩვეულებრივი</v>
          </cell>
          <cell r="G85">
            <v>0</v>
          </cell>
          <cell r="H85">
            <v>50</v>
          </cell>
          <cell r="I85">
            <v>0</v>
          </cell>
          <cell r="J85">
            <v>40</v>
          </cell>
        </row>
        <row r="86">
          <cell r="A86" t="str">
            <v>46/R</v>
          </cell>
          <cell r="B86" t="str">
            <v>ვენტილირებადი ევრო ყუთი წითელი - M</v>
          </cell>
          <cell r="C86" t="str">
            <v>ცალი</v>
          </cell>
          <cell r="D86" t="str">
            <v>წარმოება</v>
          </cell>
          <cell r="E86" t="str">
            <v>ყუთები</v>
          </cell>
          <cell r="F86" t="str">
            <v>ჩვეულებრივი</v>
          </cell>
          <cell r="G86">
            <v>0</v>
          </cell>
          <cell r="H86">
            <v>50</v>
          </cell>
          <cell r="I86">
            <v>0</v>
          </cell>
          <cell r="J86">
            <v>32</v>
          </cell>
        </row>
        <row r="87">
          <cell r="A87" t="str">
            <v>45/R</v>
          </cell>
          <cell r="B87" t="str">
            <v>ვენტილირებადი ევრო ყუთი წითელი - L</v>
          </cell>
          <cell r="C87" t="str">
            <v>ცალი</v>
          </cell>
          <cell r="D87" t="str">
            <v>წარმოება</v>
          </cell>
          <cell r="E87" t="str">
            <v>ყუთები</v>
          </cell>
          <cell r="F87" t="str">
            <v>ჩვეულებრივი</v>
          </cell>
          <cell r="G87">
            <v>0</v>
          </cell>
          <cell r="H87">
            <v>50</v>
          </cell>
          <cell r="I87">
            <v>0</v>
          </cell>
          <cell r="J87">
            <v>35</v>
          </cell>
        </row>
        <row r="88">
          <cell r="A88" t="str">
            <v>46-1/BL</v>
          </cell>
          <cell r="B88" t="str">
            <v>ვენტილირებადი ევრო ყუთი შავი - S</v>
          </cell>
          <cell r="C88" t="str">
            <v>ცალი</v>
          </cell>
          <cell r="D88" t="str">
            <v>წარმოება</v>
          </cell>
          <cell r="E88" t="str">
            <v>ყუთები</v>
          </cell>
          <cell r="F88" t="str">
            <v>ჩვეულებრივი</v>
          </cell>
          <cell r="G88">
            <v>0</v>
          </cell>
          <cell r="H88">
            <v>50</v>
          </cell>
          <cell r="I88">
            <v>0</v>
          </cell>
          <cell r="J88">
            <v>25</v>
          </cell>
        </row>
        <row r="89">
          <cell r="A89" t="str">
            <v>46/BL</v>
          </cell>
          <cell r="B89" t="str">
            <v>ვენტილირებადი ევრო ყუთი შავი - M</v>
          </cell>
          <cell r="C89" t="str">
            <v>ცალი</v>
          </cell>
          <cell r="D89" t="str">
            <v>წარმოება</v>
          </cell>
          <cell r="E89" t="str">
            <v>ყუთები</v>
          </cell>
          <cell r="F89" t="str">
            <v>ჩვეულებრივი</v>
          </cell>
          <cell r="G89">
            <v>0</v>
          </cell>
          <cell r="H89">
            <v>50</v>
          </cell>
          <cell r="I89">
            <v>0</v>
          </cell>
          <cell r="J89">
            <v>32</v>
          </cell>
        </row>
        <row r="90">
          <cell r="A90" t="str">
            <v>45/BL</v>
          </cell>
          <cell r="B90" t="str">
            <v>ვენტილირებადი ევრო ყუთი შავი - L</v>
          </cell>
          <cell r="C90" t="str">
            <v>ცალი</v>
          </cell>
          <cell r="D90" t="str">
            <v>წარმოება</v>
          </cell>
          <cell r="E90" t="str">
            <v>ყუთები</v>
          </cell>
          <cell r="F90" t="str">
            <v>ჩვეულებრივი</v>
          </cell>
          <cell r="G90">
            <v>1</v>
          </cell>
          <cell r="H90">
            <v>50</v>
          </cell>
          <cell r="I90">
            <v>15</v>
          </cell>
          <cell r="J90">
            <v>35</v>
          </cell>
        </row>
        <row r="91">
          <cell r="A91" t="str">
            <v>46/Y</v>
          </cell>
          <cell r="B91" t="str">
            <v>ვენტილირებადი ევრო ყუთი ყვითელი - M</v>
          </cell>
          <cell r="C91" t="str">
            <v>ცალი</v>
          </cell>
          <cell r="D91" t="str">
            <v>წარმოება</v>
          </cell>
          <cell r="E91" t="str">
            <v>ყუთები</v>
          </cell>
          <cell r="F91" t="str">
            <v>ჩვეულებრივი</v>
          </cell>
          <cell r="G91">
            <v>0</v>
          </cell>
          <cell r="H91">
            <v>50</v>
          </cell>
          <cell r="I91">
            <v>0</v>
          </cell>
          <cell r="J91">
            <v>32</v>
          </cell>
        </row>
        <row r="92">
          <cell r="A92" t="str">
            <v>46-1/G</v>
          </cell>
          <cell r="B92" t="str">
            <v>ვენტილირებადი ევრო ყუთი მწვანე - S</v>
          </cell>
          <cell r="C92" t="str">
            <v>ცალი</v>
          </cell>
          <cell r="D92" t="str">
            <v>წარმოება</v>
          </cell>
          <cell r="E92" t="str">
            <v>ყუთები</v>
          </cell>
          <cell r="F92" t="str">
            <v>ჩვეულებრივი</v>
          </cell>
          <cell r="G92">
            <v>0</v>
          </cell>
          <cell r="H92">
            <v>50</v>
          </cell>
          <cell r="I92">
            <v>0</v>
          </cell>
          <cell r="J92">
            <v>25</v>
          </cell>
        </row>
        <row r="93">
          <cell r="A93" t="str">
            <v>45/Y</v>
          </cell>
          <cell r="B93" t="str">
            <v>ვენტილირებადი ევრო ყუთი ყვითელი- L</v>
          </cell>
          <cell r="C93" t="str">
            <v>ცალი</v>
          </cell>
          <cell r="D93" t="str">
            <v>წარმოება</v>
          </cell>
          <cell r="E93" t="str">
            <v>ყუთები</v>
          </cell>
          <cell r="F93" t="str">
            <v>ჩვეულებრივი</v>
          </cell>
          <cell r="G93">
            <v>0</v>
          </cell>
          <cell r="H93">
            <v>50</v>
          </cell>
          <cell r="I93">
            <v>0</v>
          </cell>
          <cell r="J93">
            <v>35</v>
          </cell>
        </row>
        <row r="94">
          <cell r="A94" t="str">
            <v>46/G</v>
          </cell>
          <cell r="B94" t="str">
            <v>ვენტილირებადი ევრო ყუთი მწვანე- M</v>
          </cell>
          <cell r="C94" t="str">
            <v>ცალი</v>
          </cell>
          <cell r="D94" t="str">
            <v>წარმოება</v>
          </cell>
          <cell r="E94" t="str">
            <v>ყუთები</v>
          </cell>
          <cell r="F94" t="str">
            <v>ჩვეულებრივი</v>
          </cell>
          <cell r="G94">
            <v>0</v>
          </cell>
          <cell r="H94">
            <v>50</v>
          </cell>
          <cell r="I94">
            <v>0</v>
          </cell>
          <cell r="J94">
            <v>32</v>
          </cell>
        </row>
        <row r="95">
          <cell r="A95" t="str">
            <v>45/G</v>
          </cell>
          <cell r="B95" t="str">
            <v>ვენტილირებადი ევრო ყუთი მწვანე - L</v>
          </cell>
          <cell r="C95" t="str">
            <v>ცალი</v>
          </cell>
          <cell r="D95" t="str">
            <v>წარმოება</v>
          </cell>
          <cell r="E95" t="str">
            <v>ყუთები</v>
          </cell>
          <cell r="F95" t="str">
            <v>ჩვეულებრივი</v>
          </cell>
          <cell r="G95">
            <v>0</v>
          </cell>
          <cell r="H95">
            <v>50</v>
          </cell>
          <cell r="I95">
            <v>0</v>
          </cell>
          <cell r="J95">
            <v>35</v>
          </cell>
        </row>
        <row r="96">
          <cell r="A96" t="str">
            <v>46/DB</v>
          </cell>
          <cell r="B96" t="str">
            <v>ვენტილირებადი ევრო ყუთი ლურჯი - M</v>
          </cell>
          <cell r="C96" t="str">
            <v>ცალი</v>
          </cell>
          <cell r="D96" t="str">
            <v>წარმოება</v>
          </cell>
          <cell r="E96" t="str">
            <v>ყუთები</v>
          </cell>
          <cell r="F96" t="str">
            <v>ჩვეულებრივი</v>
          </cell>
          <cell r="G96">
            <v>0</v>
          </cell>
          <cell r="H96">
            <v>50</v>
          </cell>
          <cell r="I96">
            <v>0</v>
          </cell>
          <cell r="J96">
            <v>32</v>
          </cell>
        </row>
        <row r="97">
          <cell r="A97" t="str">
            <v>45/DB</v>
          </cell>
          <cell r="B97" t="str">
            <v>ვენტილირებადი ევრო ყუთი ლურჯი - L</v>
          </cell>
          <cell r="C97" t="str">
            <v>ცალი</v>
          </cell>
          <cell r="D97" t="str">
            <v>წარმოება</v>
          </cell>
          <cell r="E97" t="str">
            <v>ყუთები</v>
          </cell>
          <cell r="F97" t="str">
            <v>ჩვეულებრივი</v>
          </cell>
          <cell r="G97">
            <v>0</v>
          </cell>
          <cell r="H97">
            <v>50</v>
          </cell>
          <cell r="I97">
            <v>0</v>
          </cell>
          <cell r="J97">
            <v>35</v>
          </cell>
        </row>
        <row r="98">
          <cell r="A98" t="str">
            <v>46/W</v>
          </cell>
          <cell r="B98" t="str">
            <v>ვენტილირებადი ევრო ყუთი თეთრი - M</v>
          </cell>
          <cell r="C98" t="str">
            <v>ცალი</v>
          </cell>
          <cell r="D98" t="str">
            <v>წარმოება</v>
          </cell>
          <cell r="E98" t="str">
            <v>ყუთები</v>
          </cell>
          <cell r="F98" t="str">
            <v>ჩვეულებრივი</v>
          </cell>
          <cell r="G98">
            <v>0</v>
          </cell>
          <cell r="H98">
            <v>50</v>
          </cell>
          <cell r="I98">
            <v>0</v>
          </cell>
          <cell r="J98">
            <v>32</v>
          </cell>
        </row>
        <row r="99">
          <cell r="A99" t="str">
            <v>45/W</v>
          </cell>
          <cell r="B99" t="str">
            <v>ვენტილირებადი ევრო ყუთი თეთრი - L</v>
          </cell>
          <cell r="C99" t="str">
            <v>ცალი</v>
          </cell>
          <cell r="D99" t="str">
            <v>წარმოება</v>
          </cell>
          <cell r="E99" t="str">
            <v>ყუთები</v>
          </cell>
          <cell r="F99" t="str">
            <v>ჩვეულებრივი</v>
          </cell>
          <cell r="G99">
            <v>0</v>
          </cell>
          <cell r="H99">
            <v>50</v>
          </cell>
          <cell r="I99">
            <v>0</v>
          </cell>
          <cell r="J99">
            <v>35</v>
          </cell>
        </row>
        <row r="100">
          <cell r="A100" t="str">
            <v>48/BL</v>
          </cell>
          <cell r="B100" t="str">
            <v>აგრო-კონტეინერი „ეკონომ-პლუსი“ შავი</v>
          </cell>
          <cell r="C100" t="str">
            <v>ცალი</v>
          </cell>
          <cell r="D100" t="str">
            <v>წარმოება</v>
          </cell>
          <cell r="E100" t="str">
            <v>ყუთები</v>
          </cell>
          <cell r="F100" t="str">
            <v>ჩვეულებრივი</v>
          </cell>
          <cell r="G100">
            <v>7</v>
          </cell>
          <cell r="H100">
            <v>50</v>
          </cell>
          <cell r="I100">
            <v>3</v>
          </cell>
          <cell r="J100">
            <v>15</v>
          </cell>
        </row>
        <row r="101">
          <cell r="A101" t="str">
            <v>23/DB</v>
          </cell>
          <cell r="B101" t="str">
            <v xml:space="preserve"> პლასტმასის ანატომიური სავარძელი ლურჯი</v>
          </cell>
          <cell r="C101" t="str">
            <v>ცალი</v>
          </cell>
          <cell r="D101" t="str">
            <v>წარმოება</v>
          </cell>
          <cell r="E101" t="str">
            <v>სხვა და სხვა</v>
          </cell>
          <cell r="F101" t="str">
            <v>ჩვეულებრივი</v>
          </cell>
          <cell r="G101">
            <v>0</v>
          </cell>
          <cell r="H101">
            <v>50</v>
          </cell>
          <cell r="I101">
            <v>0</v>
          </cell>
          <cell r="J101">
            <v>25</v>
          </cell>
        </row>
        <row r="102">
          <cell r="A102" t="str">
            <v>74/DB</v>
          </cell>
          <cell r="B102" t="str">
            <v>ხილ-ბოსტნეულის ბადისებრი ყუთი ლურჯი</v>
          </cell>
          <cell r="C102" t="str">
            <v>ცალი</v>
          </cell>
          <cell r="D102" t="str">
            <v>წარმოება</v>
          </cell>
          <cell r="E102" t="str">
            <v>ყუთები</v>
          </cell>
          <cell r="F102" t="str">
            <v>ჩვეულებრივი</v>
          </cell>
          <cell r="G102">
            <v>0</v>
          </cell>
          <cell r="H102">
            <v>50</v>
          </cell>
          <cell r="I102">
            <v>0</v>
          </cell>
          <cell r="J102">
            <v>2.5</v>
          </cell>
        </row>
        <row r="103">
          <cell r="A103" t="str">
            <v>095</v>
          </cell>
          <cell r="B103" t="str">
            <v>საწური ტარით</v>
          </cell>
          <cell r="C103" t="str">
            <v>ცალი</v>
          </cell>
          <cell r="D103" t="str">
            <v>წარმოება</v>
          </cell>
          <cell r="E103" t="str">
            <v>სხვა და სხვა</v>
          </cell>
          <cell r="F103" t="str">
            <v>ჩვეულებრივი</v>
          </cell>
          <cell r="G103">
            <v>0</v>
          </cell>
          <cell r="H103">
            <v>50</v>
          </cell>
          <cell r="I103">
            <v>0</v>
          </cell>
          <cell r="J103">
            <v>2.75</v>
          </cell>
        </row>
        <row r="104">
          <cell r="A104" t="str">
            <v>094</v>
          </cell>
          <cell r="B104" t="str">
            <v>საწური</v>
          </cell>
          <cell r="C104" t="str">
            <v>ცალი</v>
          </cell>
          <cell r="D104" t="str">
            <v>წარმოება</v>
          </cell>
          <cell r="E104" t="str">
            <v>სხვა და სხვა</v>
          </cell>
          <cell r="F104" t="str">
            <v>ჩვეულებრივი</v>
          </cell>
          <cell r="G104">
            <v>10</v>
          </cell>
          <cell r="H104">
            <v>50</v>
          </cell>
          <cell r="I104">
            <v>0.81</v>
          </cell>
          <cell r="J104">
            <v>2.75</v>
          </cell>
        </row>
        <row r="105">
          <cell r="A105" t="str">
            <v>23/W</v>
          </cell>
          <cell r="B105" t="str">
            <v>პლასტმასის ანატომიური სავარძელი თეთრი</v>
          </cell>
          <cell r="C105" t="str">
            <v>ცალი</v>
          </cell>
          <cell r="D105" t="str">
            <v>წარმოება</v>
          </cell>
          <cell r="E105" t="str">
            <v>სხვა და სხვა</v>
          </cell>
          <cell r="F105" t="str">
            <v>ჩვეულებრივი</v>
          </cell>
          <cell r="G105">
            <v>0</v>
          </cell>
          <cell r="H105">
            <v>50</v>
          </cell>
          <cell r="I105">
            <v>0</v>
          </cell>
          <cell r="J105">
            <v>25</v>
          </cell>
        </row>
        <row r="106">
          <cell r="A106" t="str">
            <v>23/G</v>
          </cell>
          <cell r="B106" t="str">
            <v xml:space="preserve"> პლასტმასის ანატომიური სავარძელი მწვანე</v>
          </cell>
          <cell r="C106" t="str">
            <v>ცალი</v>
          </cell>
          <cell r="D106" t="str">
            <v>წარმოება</v>
          </cell>
          <cell r="E106" t="str">
            <v>სხვა და სხვა</v>
          </cell>
          <cell r="F106" t="str">
            <v>ჩვეულებრივი</v>
          </cell>
          <cell r="G106">
            <v>0</v>
          </cell>
          <cell r="H106">
            <v>50</v>
          </cell>
          <cell r="I106">
            <v>0</v>
          </cell>
          <cell r="J106">
            <v>25</v>
          </cell>
        </row>
        <row r="107">
          <cell r="A107" t="str">
            <v>092</v>
          </cell>
          <cell r="B107" t="str">
            <v>ნაგვის ურნა</v>
          </cell>
          <cell r="C107" t="str">
            <v>ცალი</v>
          </cell>
          <cell r="D107" t="str">
            <v>წარმოება</v>
          </cell>
          <cell r="E107" t="str">
            <v>ვედრო</v>
          </cell>
          <cell r="F107" t="str">
            <v>ჩვეულებრივი</v>
          </cell>
          <cell r="G107">
            <v>0</v>
          </cell>
          <cell r="H107">
            <v>50</v>
          </cell>
          <cell r="I107">
            <v>0</v>
          </cell>
          <cell r="J107">
            <v>3.5</v>
          </cell>
        </row>
        <row r="108">
          <cell r="A108" t="str">
            <v>088</v>
          </cell>
          <cell r="B108" t="str">
            <v>საკიდი ფერადი 46 სმ</v>
          </cell>
          <cell r="C108" t="str">
            <v>ცალი</v>
          </cell>
          <cell r="D108" t="str">
            <v>წარმოება</v>
          </cell>
          <cell r="E108" t="str">
            <v>სხვა და სხვა</v>
          </cell>
          <cell r="F108" t="str">
            <v>ჩვეულებრივი</v>
          </cell>
          <cell r="G108">
            <v>0</v>
          </cell>
          <cell r="H108">
            <v>50</v>
          </cell>
          <cell r="I108">
            <v>0</v>
          </cell>
          <cell r="J108">
            <v>1.5</v>
          </cell>
        </row>
        <row r="109">
          <cell r="A109" t="str">
            <v>59/BL</v>
          </cell>
          <cell r="B109" t="str">
            <v>ბოთლების ჩასადები ყუთი ბუდეებით შავი</v>
          </cell>
          <cell r="C109" t="str">
            <v>ცალი</v>
          </cell>
          <cell r="D109" t="str">
            <v>წარმოება</v>
          </cell>
          <cell r="E109" t="str">
            <v>ყუთები</v>
          </cell>
          <cell r="F109" t="str">
            <v>ჩვეულებრივი</v>
          </cell>
          <cell r="G109">
            <v>0</v>
          </cell>
          <cell r="H109">
            <v>50</v>
          </cell>
          <cell r="I109">
            <v>0</v>
          </cell>
          <cell r="J109">
            <v>15</v>
          </cell>
        </row>
        <row r="110">
          <cell r="A110" t="str">
            <v>48/G</v>
          </cell>
          <cell r="B110" t="str">
            <v>აგრო-კონტეინერი „ეკონომ-პლუსი“ მწვანე</v>
          </cell>
          <cell r="C110" t="str">
            <v>ცალი</v>
          </cell>
          <cell r="D110" t="str">
            <v>წარმოება</v>
          </cell>
          <cell r="E110" t="str">
            <v>ყუთები</v>
          </cell>
          <cell r="F110" t="str">
            <v>ჩვეულებრივი</v>
          </cell>
          <cell r="G110">
            <v>0</v>
          </cell>
          <cell r="H110">
            <v>50</v>
          </cell>
          <cell r="I110">
            <v>0</v>
          </cell>
          <cell r="J110">
            <v>15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C102"/>
  <sheetViews>
    <sheetView tabSelected="1" zoomScale="85" zoomScaleNormal="85" workbookViewId="0">
      <pane xSplit="2" ySplit="1" topLeftCell="T2" activePane="bottomRight" state="frozen"/>
      <selection pane="topRight" activeCell="C1" sqref="C1"/>
      <selection pane="bottomLeft" activeCell="A2" sqref="A2"/>
      <selection pane="bottomRight" activeCell="AA11" sqref="AA11"/>
    </sheetView>
  </sheetViews>
  <sheetFormatPr defaultColWidth="55" defaultRowHeight="15"/>
  <cols>
    <col min="1" max="1" width="12.28515625" bestFit="1" customWidth="1"/>
    <col min="2" max="2" width="46.7109375" customWidth="1"/>
    <col min="3" max="3" width="13.140625" bestFit="1" customWidth="1"/>
    <col min="4" max="4" width="25.140625" bestFit="1" customWidth="1"/>
    <col min="5" max="5" width="34.28515625" bestFit="1" customWidth="1"/>
    <col min="6" max="6" width="16.140625" customWidth="1"/>
    <col min="7" max="7" width="22.7109375" customWidth="1"/>
    <col min="8" max="8" width="11.140625" customWidth="1"/>
    <col min="9" max="9" width="20.7109375" customWidth="1"/>
    <col min="10" max="10" width="10.42578125" bestFit="1" customWidth="1"/>
    <col min="11" max="11" width="18.140625" customWidth="1"/>
    <col min="12" max="12" width="11.85546875" customWidth="1"/>
    <col min="13" max="13" width="16.28515625" customWidth="1"/>
    <col min="14" max="14" width="10.42578125" bestFit="1" customWidth="1"/>
    <col min="15" max="15" width="16.140625" customWidth="1"/>
    <col min="16" max="16" width="18.7109375" customWidth="1"/>
    <col min="17" max="17" width="17.140625" bestFit="1" customWidth="1"/>
    <col min="18" max="18" width="12.5703125" customWidth="1"/>
    <col min="19" max="19" width="9.140625" customWidth="1"/>
    <col min="20" max="20" width="12" customWidth="1"/>
    <col min="21" max="21" width="16.7109375" customWidth="1"/>
    <col min="22" max="22" width="10" customWidth="1"/>
    <col min="23" max="23" width="13.42578125" customWidth="1"/>
    <col min="24" max="24" width="16.85546875" customWidth="1"/>
    <col min="25" max="26" width="10.42578125" bestFit="1" customWidth="1"/>
    <col min="27" max="27" width="17.140625" customWidth="1"/>
    <col min="28" max="29" width="16.28515625" customWidth="1"/>
  </cols>
  <sheetData>
    <row r="1" spans="1:29" ht="45">
      <c r="A1" s="17" t="s">
        <v>0</v>
      </c>
      <c r="B1" s="17" t="s">
        <v>1</v>
      </c>
      <c r="C1" s="1" t="s">
        <v>251</v>
      </c>
      <c r="D1" s="1" t="s">
        <v>213</v>
      </c>
      <c r="E1" s="1" t="s">
        <v>214</v>
      </c>
      <c r="F1" s="1" t="s">
        <v>215</v>
      </c>
      <c r="G1" s="1" t="s">
        <v>225</v>
      </c>
      <c r="H1" s="1" t="s">
        <v>248</v>
      </c>
      <c r="I1" s="1" t="s">
        <v>247</v>
      </c>
      <c r="J1" s="1" t="s">
        <v>222</v>
      </c>
      <c r="K1" s="1" t="s">
        <v>216</v>
      </c>
      <c r="L1" s="1" t="s">
        <v>217</v>
      </c>
      <c r="M1" s="1" t="s">
        <v>218</v>
      </c>
      <c r="N1" s="1" t="s">
        <v>222</v>
      </c>
      <c r="O1" s="1" t="s">
        <v>219</v>
      </c>
      <c r="P1" s="1" t="s">
        <v>220</v>
      </c>
      <c r="Q1" s="1" t="s">
        <v>221</v>
      </c>
      <c r="R1" s="1" t="s">
        <v>2</v>
      </c>
      <c r="S1" s="1" t="s">
        <v>222</v>
      </c>
      <c r="T1" s="1" t="s">
        <v>221</v>
      </c>
      <c r="U1" s="1" t="s">
        <v>249</v>
      </c>
      <c r="V1" s="1" t="s">
        <v>223</v>
      </c>
      <c r="W1" s="1" t="s">
        <v>224</v>
      </c>
      <c r="X1" s="1" t="s">
        <v>250</v>
      </c>
      <c r="Y1" s="1" t="s">
        <v>222</v>
      </c>
      <c r="Z1" s="1" t="s">
        <v>221</v>
      </c>
      <c r="AA1" s="1" t="s">
        <v>280</v>
      </c>
      <c r="AB1" s="1" t="s">
        <v>272</v>
      </c>
      <c r="AC1" s="1" t="s">
        <v>273</v>
      </c>
    </row>
    <row r="2" spans="1:29">
      <c r="A2" s="18" t="s">
        <v>126</v>
      </c>
      <c r="B2" s="18" t="s">
        <v>127</v>
      </c>
      <c r="C2" s="18">
        <v>1.04</v>
      </c>
      <c r="D2" s="18" t="s">
        <v>226</v>
      </c>
      <c r="E2" s="18" t="s">
        <v>227</v>
      </c>
      <c r="F2" s="18">
        <v>1.7</v>
      </c>
      <c r="G2" s="18">
        <v>120</v>
      </c>
      <c r="H2" s="18">
        <v>0.32</v>
      </c>
      <c r="I2" s="25">
        <f>ROUND(F2*G2/60*H2,2)</f>
        <v>1.0900000000000001</v>
      </c>
      <c r="J2" s="19">
        <f>I2-I2/1.18</f>
        <v>0.16627118644067795</v>
      </c>
      <c r="K2" s="18">
        <v>3.5</v>
      </c>
      <c r="L2" s="19">
        <v>1.25</v>
      </c>
      <c r="M2" s="25">
        <f>ROUND(L2*K2,2)</f>
        <v>4.38</v>
      </c>
      <c r="N2" s="19">
        <f>M2-M2/1.18</f>
        <v>0.66813559322033855</v>
      </c>
      <c r="O2" s="24">
        <f>ROUND(150/8/60*F2,2)</f>
        <v>0.53</v>
      </c>
      <c r="P2" s="28">
        <f>ROUND(O2+M2+I2,2)</f>
        <v>6</v>
      </c>
      <c r="Q2" s="19">
        <f>P2-N2-J2</f>
        <v>5.1655932203389838</v>
      </c>
      <c r="R2" s="29">
        <v>7.65</v>
      </c>
      <c r="S2" s="19">
        <f t="shared" ref="S2:S33" si="0">R2-R2/1.18</f>
        <v>1.1669491525423723</v>
      </c>
      <c r="T2" s="19">
        <f>R2-S2</f>
        <v>6.4830508474576281</v>
      </c>
      <c r="U2" s="19">
        <f t="shared" ref="U2:U33" si="1">S2-N2-J2</f>
        <v>0.3325423728813558</v>
      </c>
      <c r="V2" s="32">
        <f t="shared" ref="V2:V33" si="2">T2-Q2</f>
        <v>1.3174576271186442</v>
      </c>
      <c r="W2" s="20">
        <f t="shared" ref="W2:W33" si="3">V2/R2</f>
        <v>0.17221668328348289</v>
      </c>
      <c r="X2" s="19">
        <v>7.3</v>
      </c>
      <c r="Y2" s="19">
        <f t="shared" ref="Y2:Y33" si="4">X2-Z2</f>
        <v>1.1135593220338977</v>
      </c>
      <c r="Z2" s="19">
        <f t="shared" ref="Z2:Z33" si="5">X2/1.18</f>
        <v>6.1864406779661021</v>
      </c>
      <c r="AA2" s="30">
        <f t="shared" ref="AA2:AA33" si="6">X2*4%</f>
        <v>0.29199999999999998</v>
      </c>
      <c r="AB2" s="31">
        <f t="shared" ref="AB2:AB33" si="7">Z2-Q2-AA2</f>
        <v>0.72884745762711822</v>
      </c>
      <c r="AC2" s="20">
        <f t="shared" ref="AC2:AC33" si="8">AB2/X2</f>
        <v>9.9842117483166876E-2</v>
      </c>
    </row>
    <row r="3" spans="1:29">
      <c r="A3" s="18" t="s">
        <v>116</v>
      </c>
      <c r="B3" s="18" t="s">
        <v>117</v>
      </c>
      <c r="C3" s="18">
        <v>0.75</v>
      </c>
      <c r="D3" s="18" t="s">
        <v>226</v>
      </c>
      <c r="E3" s="18" t="s">
        <v>227</v>
      </c>
      <c r="F3" s="18">
        <v>1.7</v>
      </c>
      <c r="G3" s="18">
        <v>120</v>
      </c>
      <c r="H3" s="18">
        <v>0.32</v>
      </c>
      <c r="I3" s="25">
        <f t="shared" ref="I3:I61" si="9">ROUND(F3*G3/60*H3,2)</f>
        <v>1.0900000000000001</v>
      </c>
      <c r="J3" s="19">
        <f t="shared" ref="J3:J61" si="10">I3-I3/1.18</f>
        <v>0.16627118644067795</v>
      </c>
      <c r="K3" s="18">
        <v>3.5</v>
      </c>
      <c r="L3" s="19">
        <v>0.9</v>
      </c>
      <c r="M3" s="25">
        <f t="shared" ref="M3:M61" si="11">ROUND(L3*K3,2)</f>
        <v>3.15</v>
      </c>
      <c r="N3" s="19">
        <f t="shared" ref="N3:N61" si="12">M3-M3/1.18</f>
        <v>0.48050847457627111</v>
      </c>
      <c r="O3" s="24">
        <f t="shared" ref="O3:O61" si="13">ROUND(150/8/60*F3,2)</f>
        <v>0.53</v>
      </c>
      <c r="P3" s="28">
        <f t="shared" ref="P3:P61" si="14">ROUND(O3+M3+I3,2)</f>
        <v>4.7699999999999996</v>
      </c>
      <c r="Q3" s="19">
        <f t="shared" ref="Q3:Q61" si="15">P3-N3-J3</f>
        <v>4.1232203389830504</v>
      </c>
      <c r="R3" s="29">
        <v>7</v>
      </c>
      <c r="S3" s="19">
        <f t="shared" si="0"/>
        <v>1.0677966101694913</v>
      </c>
      <c r="T3" s="19">
        <f t="shared" ref="T3:T61" si="16">R3-S3</f>
        <v>5.9322033898305087</v>
      </c>
      <c r="U3" s="19">
        <f t="shared" si="1"/>
        <v>0.42101694915254229</v>
      </c>
      <c r="V3" s="32">
        <f t="shared" si="2"/>
        <v>1.8089830508474583</v>
      </c>
      <c r="W3" s="20">
        <f t="shared" si="3"/>
        <v>0.25842615012106546</v>
      </c>
      <c r="X3" s="30">
        <v>5.95</v>
      </c>
      <c r="Y3" s="19">
        <f t="shared" si="4"/>
        <v>0.90762711864406764</v>
      </c>
      <c r="Z3" s="19">
        <f t="shared" si="5"/>
        <v>5.0423728813559325</v>
      </c>
      <c r="AA3" s="30">
        <f t="shared" si="6"/>
        <v>0.23800000000000002</v>
      </c>
      <c r="AB3" s="31">
        <f t="shared" si="7"/>
        <v>0.68115254237288214</v>
      </c>
      <c r="AC3" s="20">
        <f t="shared" si="8"/>
        <v>0.11447941888619867</v>
      </c>
    </row>
    <row r="4" spans="1:29">
      <c r="A4" s="13" t="s">
        <v>98</v>
      </c>
      <c r="B4" s="13" t="s">
        <v>99</v>
      </c>
      <c r="C4" s="13">
        <v>0.5</v>
      </c>
      <c r="D4" s="13" t="s">
        <v>226</v>
      </c>
      <c r="E4" s="13" t="s">
        <v>227</v>
      </c>
      <c r="F4" s="13">
        <v>1.7</v>
      </c>
      <c r="G4" s="13">
        <v>120</v>
      </c>
      <c r="H4" s="13">
        <v>0.32</v>
      </c>
      <c r="I4" s="25">
        <f t="shared" si="9"/>
        <v>1.0900000000000001</v>
      </c>
      <c r="J4" s="14">
        <f t="shared" si="10"/>
        <v>0.16627118644067795</v>
      </c>
      <c r="K4" s="13">
        <v>3.5</v>
      </c>
      <c r="L4" s="14">
        <v>0.6</v>
      </c>
      <c r="M4" s="25">
        <f t="shared" si="11"/>
        <v>2.1</v>
      </c>
      <c r="N4" s="14">
        <f t="shared" si="12"/>
        <v>0.3203389830508474</v>
      </c>
      <c r="O4" s="24">
        <f t="shared" si="13"/>
        <v>0.53</v>
      </c>
      <c r="P4" s="28">
        <f t="shared" si="14"/>
        <v>3.72</v>
      </c>
      <c r="Q4" s="14">
        <f t="shared" si="15"/>
        <v>3.2333898305084747</v>
      </c>
      <c r="R4" s="29">
        <v>6.4</v>
      </c>
      <c r="S4" s="14">
        <f t="shared" si="0"/>
        <v>0.97627118644067767</v>
      </c>
      <c r="T4" s="14">
        <f t="shared" si="16"/>
        <v>5.4237288135593227</v>
      </c>
      <c r="U4" s="14">
        <f t="shared" si="1"/>
        <v>0.48966101694915232</v>
      </c>
      <c r="V4" s="32">
        <f t="shared" si="2"/>
        <v>2.190338983050848</v>
      </c>
      <c r="W4" s="20">
        <f t="shared" si="3"/>
        <v>0.34224046610169495</v>
      </c>
      <c r="X4" s="30">
        <v>5.45</v>
      </c>
      <c r="Y4" s="19">
        <f t="shared" si="4"/>
        <v>0.83135593220338944</v>
      </c>
      <c r="Z4" s="14">
        <f t="shared" si="5"/>
        <v>4.6186440677966107</v>
      </c>
      <c r="AA4" s="30">
        <f t="shared" si="6"/>
        <v>0.218</v>
      </c>
      <c r="AB4" s="31">
        <f t="shared" si="7"/>
        <v>1.167254237288136</v>
      </c>
      <c r="AC4" s="20">
        <f t="shared" si="8"/>
        <v>0.21417508941066715</v>
      </c>
    </row>
    <row r="5" spans="1:29">
      <c r="A5" s="18" t="s">
        <v>92</v>
      </c>
      <c r="B5" s="18" t="s">
        <v>93</v>
      </c>
      <c r="C5" s="18">
        <v>0.41</v>
      </c>
      <c r="D5" s="18" t="s">
        <v>226</v>
      </c>
      <c r="E5" s="18" t="s">
        <v>228</v>
      </c>
      <c r="F5" s="18">
        <v>1.7</v>
      </c>
      <c r="G5" s="18">
        <v>100</v>
      </c>
      <c r="H5" s="18">
        <v>0.32</v>
      </c>
      <c r="I5" s="25">
        <f t="shared" si="9"/>
        <v>0.91</v>
      </c>
      <c r="J5" s="19">
        <f t="shared" si="10"/>
        <v>0.13881355932203387</v>
      </c>
      <c r="K5" s="18">
        <v>3.5</v>
      </c>
      <c r="L5" s="19">
        <v>0.49</v>
      </c>
      <c r="M5" s="25">
        <f t="shared" si="11"/>
        <v>1.72</v>
      </c>
      <c r="N5" s="19">
        <f t="shared" si="12"/>
        <v>0.26237288135593206</v>
      </c>
      <c r="O5" s="24">
        <f t="shared" si="13"/>
        <v>0.53</v>
      </c>
      <c r="P5" s="28">
        <f t="shared" si="14"/>
        <v>3.16</v>
      </c>
      <c r="Q5" s="19">
        <f t="shared" si="15"/>
        <v>2.758813559322034</v>
      </c>
      <c r="R5" s="29">
        <v>4.5</v>
      </c>
      <c r="S5" s="19">
        <f t="shared" si="0"/>
        <v>0.68644067796610164</v>
      </c>
      <c r="T5" s="19">
        <f t="shared" si="16"/>
        <v>3.8135593220338984</v>
      </c>
      <c r="U5" s="19">
        <f t="shared" si="1"/>
        <v>0.2852542372881357</v>
      </c>
      <c r="V5" s="32">
        <f t="shared" si="2"/>
        <v>1.0547457627118644</v>
      </c>
      <c r="W5" s="20">
        <f t="shared" si="3"/>
        <v>0.2343879472693032</v>
      </c>
      <c r="X5" s="19">
        <v>3.9</v>
      </c>
      <c r="Y5" s="19">
        <f t="shared" si="4"/>
        <v>0.59491525423728797</v>
      </c>
      <c r="Z5" s="19">
        <f t="shared" si="5"/>
        <v>3.3050847457627119</v>
      </c>
      <c r="AA5" s="30">
        <f t="shared" si="6"/>
        <v>0.156</v>
      </c>
      <c r="AB5" s="31">
        <f t="shared" si="7"/>
        <v>0.39027118644067793</v>
      </c>
      <c r="AC5" s="20">
        <f t="shared" si="8"/>
        <v>0.10006953498478921</v>
      </c>
    </row>
    <row r="6" spans="1:29">
      <c r="A6" s="13" t="s">
        <v>62</v>
      </c>
      <c r="B6" s="13" t="s">
        <v>63</v>
      </c>
      <c r="C6" s="13">
        <v>1.155</v>
      </c>
      <c r="D6" s="13" t="s">
        <v>229</v>
      </c>
      <c r="E6" s="13" t="s">
        <v>230</v>
      </c>
      <c r="F6" s="13">
        <v>2</v>
      </c>
      <c r="G6" s="13">
        <v>180</v>
      </c>
      <c r="H6" s="13">
        <v>0.32</v>
      </c>
      <c r="I6" s="25">
        <f t="shared" si="9"/>
        <v>1.92</v>
      </c>
      <c r="J6" s="14">
        <f t="shared" si="10"/>
        <v>0.29288135593220321</v>
      </c>
      <c r="K6" s="13">
        <v>3.5</v>
      </c>
      <c r="L6" s="14">
        <v>1.39</v>
      </c>
      <c r="M6" s="25">
        <f t="shared" si="11"/>
        <v>4.87</v>
      </c>
      <c r="N6" s="14">
        <f t="shared" si="12"/>
        <v>0.74288135593220339</v>
      </c>
      <c r="O6" s="24">
        <f t="shared" si="13"/>
        <v>0.63</v>
      </c>
      <c r="P6" s="28">
        <f t="shared" si="14"/>
        <v>7.42</v>
      </c>
      <c r="Q6" s="14">
        <f t="shared" si="15"/>
        <v>6.3842372881355933</v>
      </c>
      <c r="R6" s="29">
        <v>15</v>
      </c>
      <c r="S6" s="14">
        <f t="shared" si="0"/>
        <v>2.2881355932203391</v>
      </c>
      <c r="T6" s="14">
        <f t="shared" si="16"/>
        <v>12.711864406779661</v>
      </c>
      <c r="U6" s="14">
        <f t="shared" si="1"/>
        <v>1.2523728813559325</v>
      </c>
      <c r="V6" s="32">
        <f t="shared" si="2"/>
        <v>6.3276271186440676</v>
      </c>
      <c r="W6" s="20">
        <f t="shared" si="3"/>
        <v>0.42184180790960452</v>
      </c>
      <c r="X6" s="30">
        <v>12.75</v>
      </c>
      <c r="Y6" s="19">
        <f t="shared" si="4"/>
        <v>1.9449152542372872</v>
      </c>
      <c r="Z6" s="14">
        <f t="shared" si="5"/>
        <v>10.805084745762713</v>
      </c>
      <c r="AA6" s="30">
        <f t="shared" si="6"/>
        <v>0.51</v>
      </c>
      <c r="AB6" s="31">
        <f t="shared" si="7"/>
        <v>3.9108474576271197</v>
      </c>
      <c r="AC6" s="20">
        <f t="shared" si="8"/>
        <v>0.30673313393153878</v>
      </c>
    </row>
    <row r="7" spans="1:29">
      <c r="A7" s="18" t="s">
        <v>60</v>
      </c>
      <c r="B7" s="18" t="s">
        <v>61</v>
      </c>
      <c r="C7" s="18">
        <v>1.17</v>
      </c>
      <c r="D7" s="18" t="s">
        <v>226</v>
      </c>
      <c r="E7" s="18" t="s">
        <v>230</v>
      </c>
      <c r="F7" s="18">
        <v>2</v>
      </c>
      <c r="G7" s="18">
        <v>180</v>
      </c>
      <c r="H7" s="18">
        <v>0.32</v>
      </c>
      <c r="I7" s="25">
        <f t="shared" si="9"/>
        <v>1.92</v>
      </c>
      <c r="J7" s="19">
        <f t="shared" si="10"/>
        <v>0.29288135593220321</v>
      </c>
      <c r="K7" s="18">
        <v>3.5</v>
      </c>
      <c r="L7" s="19">
        <v>1.4</v>
      </c>
      <c r="M7" s="25">
        <f t="shared" si="11"/>
        <v>4.9000000000000004</v>
      </c>
      <c r="N7" s="19">
        <f t="shared" si="12"/>
        <v>0.74745762711864394</v>
      </c>
      <c r="O7" s="24">
        <f t="shared" si="13"/>
        <v>0.63</v>
      </c>
      <c r="P7" s="28">
        <f t="shared" si="14"/>
        <v>7.45</v>
      </c>
      <c r="Q7" s="19">
        <f t="shared" si="15"/>
        <v>6.409661016949153</v>
      </c>
      <c r="R7" s="29">
        <v>10</v>
      </c>
      <c r="S7" s="19">
        <f t="shared" si="0"/>
        <v>1.5254237288135588</v>
      </c>
      <c r="T7" s="19">
        <f t="shared" si="16"/>
        <v>8.4745762711864412</v>
      </c>
      <c r="U7" s="19">
        <f t="shared" si="1"/>
        <v>0.48508474576271166</v>
      </c>
      <c r="V7" s="32">
        <f t="shared" si="2"/>
        <v>2.0649152542372882</v>
      </c>
      <c r="W7" s="20">
        <f t="shared" si="3"/>
        <v>0.20649152542372881</v>
      </c>
      <c r="X7" s="30">
        <v>9</v>
      </c>
      <c r="Y7" s="19">
        <f t="shared" si="4"/>
        <v>1.3728813559322033</v>
      </c>
      <c r="Z7" s="19">
        <f t="shared" si="5"/>
        <v>7.6271186440677967</v>
      </c>
      <c r="AA7" s="30">
        <f t="shared" si="6"/>
        <v>0.36</v>
      </c>
      <c r="AB7" s="31">
        <f t="shared" si="7"/>
        <v>0.85745762711864371</v>
      </c>
      <c r="AC7" s="20">
        <f t="shared" si="8"/>
        <v>9.5273069679849304E-2</v>
      </c>
    </row>
    <row r="8" spans="1:29">
      <c r="A8" s="13" t="s">
        <v>58</v>
      </c>
      <c r="B8" s="13" t="s">
        <v>59</v>
      </c>
      <c r="C8" s="13">
        <v>0.56499999999999995</v>
      </c>
      <c r="D8" s="13" t="s">
        <v>231</v>
      </c>
      <c r="E8" s="13" t="s">
        <v>228</v>
      </c>
      <c r="F8" s="13">
        <v>1.7</v>
      </c>
      <c r="G8" s="13">
        <v>100</v>
      </c>
      <c r="H8" s="13">
        <v>0.32</v>
      </c>
      <c r="I8" s="25">
        <f t="shared" si="9"/>
        <v>0.91</v>
      </c>
      <c r="J8" s="14">
        <f t="shared" si="10"/>
        <v>0.13881355932203387</v>
      </c>
      <c r="K8" s="13">
        <v>3.5</v>
      </c>
      <c r="L8" s="14">
        <v>0.68</v>
      </c>
      <c r="M8" s="25">
        <f t="shared" si="11"/>
        <v>2.38</v>
      </c>
      <c r="N8" s="14">
        <f t="shared" si="12"/>
        <v>0.36305084745762706</v>
      </c>
      <c r="O8" s="24">
        <f t="shared" si="13"/>
        <v>0.53</v>
      </c>
      <c r="P8" s="28">
        <f t="shared" si="14"/>
        <v>3.82</v>
      </c>
      <c r="Q8" s="14">
        <f t="shared" si="15"/>
        <v>3.3181355932203389</v>
      </c>
      <c r="R8" s="29">
        <v>5.5</v>
      </c>
      <c r="S8" s="14">
        <f t="shared" si="0"/>
        <v>0.83898305084745761</v>
      </c>
      <c r="T8" s="14">
        <f t="shared" si="16"/>
        <v>4.6610169491525424</v>
      </c>
      <c r="U8" s="14">
        <f t="shared" si="1"/>
        <v>0.33711864406779668</v>
      </c>
      <c r="V8" s="32">
        <f t="shared" si="2"/>
        <v>1.3428813559322035</v>
      </c>
      <c r="W8" s="20">
        <f t="shared" si="3"/>
        <v>0.2441602465331279</v>
      </c>
      <c r="X8" s="19">
        <v>4.7</v>
      </c>
      <c r="Y8" s="19">
        <f t="shared" si="4"/>
        <v>0.71694915254237257</v>
      </c>
      <c r="Z8" s="14">
        <f t="shared" si="5"/>
        <v>3.9830508474576276</v>
      </c>
      <c r="AA8" s="30">
        <f t="shared" si="6"/>
        <v>0.188</v>
      </c>
      <c r="AB8" s="31">
        <f t="shared" si="7"/>
        <v>0.4769152542372887</v>
      </c>
      <c r="AC8" s="20">
        <f t="shared" si="8"/>
        <v>0.10147133068878482</v>
      </c>
    </row>
    <row r="9" spans="1:29">
      <c r="A9" s="13" t="s">
        <v>56</v>
      </c>
      <c r="B9" s="13" t="s">
        <v>57</v>
      </c>
      <c r="C9" s="13">
        <v>0.56499999999999995</v>
      </c>
      <c r="D9" s="13" t="s">
        <v>231</v>
      </c>
      <c r="E9" s="13" t="s">
        <v>228</v>
      </c>
      <c r="F9" s="13">
        <v>1.7</v>
      </c>
      <c r="G9" s="13">
        <v>100</v>
      </c>
      <c r="H9" s="13">
        <v>0.32</v>
      </c>
      <c r="I9" s="25">
        <f t="shared" si="9"/>
        <v>0.91</v>
      </c>
      <c r="J9" s="14">
        <f t="shared" si="10"/>
        <v>0.13881355932203387</v>
      </c>
      <c r="K9" s="13">
        <v>3.5</v>
      </c>
      <c r="L9" s="14">
        <v>0.68</v>
      </c>
      <c r="M9" s="25">
        <f t="shared" si="11"/>
        <v>2.38</v>
      </c>
      <c r="N9" s="14">
        <f t="shared" si="12"/>
        <v>0.36305084745762706</v>
      </c>
      <c r="O9" s="24">
        <f t="shared" si="13"/>
        <v>0.53</v>
      </c>
      <c r="P9" s="28">
        <f t="shared" si="14"/>
        <v>3.82</v>
      </c>
      <c r="Q9" s="14">
        <f t="shared" si="15"/>
        <v>3.3181355932203389</v>
      </c>
      <c r="R9" s="29">
        <v>5.5</v>
      </c>
      <c r="S9" s="14">
        <f t="shared" si="0"/>
        <v>0.83898305084745761</v>
      </c>
      <c r="T9" s="14">
        <f t="shared" si="16"/>
        <v>4.6610169491525424</v>
      </c>
      <c r="U9" s="14">
        <f t="shared" si="1"/>
        <v>0.33711864406779668</v>
      </c>
      <c r="V9" s="32">
        <f t="shared" si="2"/>
        <v>1.3428813559322035</v>
      </c>
      <c r="W9" s="20">
        <f t="shared" si="3"/>
        <v>0.2441602465331279</v>
      </c>
      <c r="X9" s="19">
        <v>4.7</v>
      </c>
      <c r="Y9" s="19">
        <f t="shared" si="4"/>
        <v>0.71694915254237257</v>
      </c>
      <c r="Z9" s="14">
        <f t="shared" si="5"/>
        <v>3.9830508474576276</v>
      </c>
      <c r="AA9" s="30">
        <f t="shared" si="6"/>
        <v>0.188</v>
      </c>
      <c r="AB9" s="31">
        <f t="shared" si="7"/>
        <v>0.4769152542372887</v>
      </c>
      <c r="AC9" s="20">
        <f t="shared" si="8"/>
        <v>0.10147133068878482</v>
      </c>
    </row>
    <row r="10" spans="1:29">
      <c r="A10" s="13" t="s">
        <v>54</v>
      </c>
      <c r="B10" s="13" t="s">
        <v>55</v>
      </c>
      <c r="C10" s="13">
        <v>0.56499999999999995</v>
      </c>
      <c r="D10" s="13" t="s">
        <v>231</v>
      </c>
      <c r="E10" s="13" t="s">
        <v>228</v>
      </c>
      <c r="F10" s="13">
        <v>1.7</v>
      </c>
      <c r="G10" s="13">
        <v>100</v>
      </c>
      <c r="H10" s="13">
        <v>0.32</v>
      </c>
      <c r="I10" s="25">
        <f t="shared" si="9"/>
        <v>0.91</v>
      </c>
      <c r="J10" s="14">
        <f t="shared" si="10"/>
        <v>0.13881355932203387</v>
      </c>
      <c r="K10" s="13">
        <v>3.5</v>
      </c>
      <c r="L10" s="14">
        <v>0.68</v>
      </c>
      <c r="M10" s="25">
        <f t="shared" si="11"/>
        <v>2.38</v>
      </c>
      <c r="N10" s="14">
        <f t="shared" si="12"/>
        <v>0.36305084745762706</v>
      </c>
      <c r="O10" s="24">
        <f t="shared" si="13"/>
        <v>0.53</v>
      </c>
      <c r="P10" s="28">
        <f t="shared" si="14"/>
        <v>3.82</v>
      </c>
      <c r="Q10" s="14">
        <f t="shared" si="15"/>
        <v>3.3181355932203389</v>
      </c>
      <c r="R10" s="29">
        <v>5.5</v>
      </c>
      <c r="S10" s="14">
        <f t="shared" si="0"/>
        <v>0.83898305084745761</v>
      </c>
      <c r="T10" s="14">
        <f t="shared" si="16"/>
        <v>4.6610169491525424</v>
      </c>
      <c r="U10" s="14">
        <f t="shared" si="1"/>
        <v>0.33711864406779668</v>
      </c>
      <c r="V10" s="32">
        <f t="shared" si="2"/>
        <v>1.3428813559322035</v>
      </c>
      <c r="W10" s="20">
        <f t="shared" si="3"/>
        <v>0.2441602465331279</v>
      </c>
      <c r="X10" s="19">
        <v>4.7</v>
      </c>
      <c r="Y10" s="19">
        <f t="shared" si="4"/>
        <v>0.71694915254237257</v>
      </c>
      <c r="Z10" s="14">
        <f t="shared" si="5"/>
        <v>3.9830508474576276</v>
      </c>
      <c r="AA10" s="30">
        <f t="shared" si="6"/>
        <v>0.188</v>
      </c>
      <c r="AB10" s="31">
        <f t="shared" si="7"/>
        <v>0.4769152542372887</v>
      </c>
      <c r="AC10" s="20">
        <f t="shared" si="8"/>
        <v>0.10147133068878482</v>
      </c>
    </row>
    <row r="11" spans="1:29">
      <c r="A11" s="13" t="s">
        <v>50</v>
      </c>
      <c r="B11" s="13" t="s">
        <v>51</v>
      </c>
      <c r="C11" s="13">
        <v>0.32</v>
      </c>
      <c r="D11" s="13" t="s">
        <v>226</v>
      </c>
      <c r="E11" s="13" t="s">
        <v>232</v>
      </c>
      <c r="F11" s="13">
        <v>1.7</v>
      </c>
      <c r="G11" s="13">
        <v>70</v>
      </c>
      <c r="H11" s="13">
        <v>0.32</v>
      </c>
      <c r="I11" s="25">
        <f t="shared" si="9"/>
        <v>0.63</v>
      </c>
      <c r="J11" s="14">
        <f t="shared" si="10"/>
        <v>9.6101694915254221E-2</v>
      </c>
      <c r="K11" s="13">
        <v>3.5</v>
      </c>
      <c r="L11" s="14">
        <v>0.38</v>
      </c>
      <c r="M11" s="25">
        <f t="shared" si="11"/>
        <v>1.33</v>
      </c>
      <c r="N11" s="14">
        <f t="shared" si="12"/>
        <v>0.20288135593220336</v>
      </c>
      <c r="O11" s="24">
        <f t="shared" si="13"/>
        <v>0.53</v>
      </c>
      <c r="P11" s="28">
        <f t="shared" si="14"/>
        <v>2.4900000000000002</v>
      </c>
      <c r="Q11" s="14">
        <f t="shared" si="15"/>
        <v>2.1910169491525426</v>
      </c>
      <c r="R11" s="29">
        <v>4.5</v>
      </c>
      <c r="S11" s="14">
        <f t="shared" si="0"/>
        <v>0.68644067796610164</v>
      </c>
      <c r="T11" s="14">
        <f t="shared" si="16"/>
        <v>3.8135593220338984</v>
      </c>
      <c r="U11" s="14">
        <f t="shared" si="1"/>
        <v>0.38745762711864407</v>
      </c>
      <c r="V11" s="32">
        <f t="shared" si="2"/>
        <v>1.6225423728813557</v>
      </c>
      <c r="W11" s="20">
        <f t="shared" si="3"/>
        <v>0.36056497175141239</v>
      </c>
      <c r="X11" s="30">
        <v>3.85</v>
      </c>
      <c r="Y11" s="19">
        <f t="shared" si="4"/>
        <v>0.58728813559322024</v>
      </c>
      <c r="Z11" s="14">
        <f t="shared" si="5"/>
        <v>3.2627118644067798</v>
      </c>
      <c r="AA11" s="30">
        <f t="shared" si="6"/>
        <v>0.154</v>
      </c>
      <c r="AB11" s="31">
        <f t="shared" si="7"/>
        <v>0.91769491525423719</v>
      </c>
      <c r="AC11" s="20">
        <f t="shared" si="8"/>
        <v>0.23836231565045121</v>
      </c>
    </row>
    <row r="12" spans="1:29">
      <c r="A12" s="13" t="s">
        <v>40</v>
      </c>
      <c r="B12" s="13" t="s">
        <v>41</v>
      </c>
      <c r="C12" s="13">
        <v>0.35</v>
      </c>
      <c r="D12" s="13" t="s">
        <v>231</v>
      </c>
      <c r="E12" s="13" t="s">
        <v>232</v>
      </c>
      <c r="F12" s="13">
        <v>1.3</v>
      </c>
      <c r="G12" s="13">
        <v>70</v>
      </c>
      <c r="H12" s="13">
        <v>0.32</v>
      </c>
      <c r="I12" s="25">
        <f t="shared" si="9"/>
        <v>0.49</v>
      </c>
      <c r="J12" s="14">
        <f t="shared" si="10"/>
        <v>7.4745762711864394E-2</v>
      </c>
      <c r="K12" s="13">
        <v>3.5</v>
      </c>
      <c r="L12" s="14">
        <v>0.42</v>
      </c>
      <c r="M12" s="25">
        <f t="shared" si="11"/>
        <v>1.47</v>
      </c>
      <c r="N12" s="14">
        <f t="shared" si="12"/>
        <v>0.22423728813559318</v>
      </c>
      <c r="O12" s="24">
        <f t="shared" si="13"/>
        <v>0.41</v>
      </c>
      <c r="P12" s="28">
        <f t="shared" si="14"/>
        <v>2.37</v>
      </c>
      <c r="Q12" s="14">
        <f t="shared" si="15"/>
        <v>2.0710169491525425</v>
      </c>
      <c r="R12" s="29">
        <v>3.5</v>
      </c>
      <c r="S12" s="14">
        <f t="shared" si="0"/>
        <v>0.53389830508474567</v>
      </c>
      <c r="T12" s="14">
        <f t="shared" si="16"/>
        <v>2.9661016949152543</v>
      </c>
      <c r="U12" s="14">
        <f t="shared" si="1"/>
        <v>0.2349152542372881</v>
      </c>
      <c r="V12" s="32">
        <f t="shared" si="2"/>
        <v>0.8950847457627118</v>
      </c>
      <c r="W12" s="20">
        <f t="shared" si="3"/>
        <v>0.25573849878934624</v>
      </c>
      <c r="X12" s="30">
        <v>3</v>
      </c>
      <c r="Y12" s="19">
        <f t="shared" si="4"/>
        <v>0.45762711864406747</v>
      </c>
      <c r="Z12" s="14">
        <f t="shared" si="5"/>
        <v>2.5423728813559325</v>
      </c>
      <c r="AA12" s="30">
        <f t="shared" si="6"/>
        <v>0.12</v>
      </c>
      <c r="AB12" s="31">
        <f t="shared" si="7"/>
        <v>0.35135593220339001</v>
      </c>
      <c r="AC12" s="20">
        <f t="shared" si="8"/>
        <v>0.11711864406779667</v>
      </c>
    </row>
    <row r="13" spans="1:29">
      <c r="A13" s="13" t="s">
        <v>38</v>
      </c>
      <c r="B13" s="13" t="s">
        <v>39</v>
      </c>
      <c r="C13" s="13">
        <v>0.35</v>
      </c>
      <c r="D13" s="13" t="s">
        <v>231</v>
      </c>
      <c r="E13" s="13" t="s">
        <v>232</v>
      </c>
      <c r="F13" s="13">
        <v>1.3</v>
      </c>
      <c r="G13" s="13">
        <v>70</v>
      </c>
      <c r="H13" s="13">
        <v>0.32</v>
      </c>
      <c r="I13" s="25">
        <f t="shared" si="9"/>
        <v>0.49</v>
      </c>
      <c r="J13" s="14">
        <f t="shared" si="10"/>
        <v>7.4745762711864394E-2</v>
      </c>
      <c r="K13" s="13">
        <v>3.5</v>
      </c>
      <c r="L13" s="14">
        <v>0.42</v>
      </c>
      <c r="M13" s="25">
        <f t="shared" si="11"/>
        <v>1.47</v>
      </c>
      <c r="N13" s="14">
        <f t="shared" si="12"/>
        <v>0.22423728813559318</v>
      </c>
      <c r="O13" s="24">
        <f t="shared" si="13"/>
        <v>0.41</v>
      </c>
      <c r="P13" s="28">
        <f t="shared" si="14"/>
        <v>2.37</v>
      </c>
      <c r="Q13" s="14">
        <f t="shared" si="15"/>
        <v>2.0710169491525425</v>
      </c>
      <c r="R13" s="29">
        <v>3.5</v>
      </c>
      <c r="S13" s="14">
        <f t="shared" si="0"/>
        <v>0.53389830508474567</v>
      </c>
      <c r="T13" s="14">
        <f t="shared" si="16"/>
        <v>2.9661016949152543</v>
      </c>
      <c r="U13" s="14">
        <f t="shared" si="1"/>
        <v>0.2349152542372881</v>
      </c>
      <c r="V13" s="32">
        <f t="shared" si="2"/>
        <v>0.8950847457627118</v>
      </c>
      <c r="W13" s="20">
        <f t="shared" si="3"/>
        <v>0.25573849878934624</v>
      </c>
      <c r="X13" s="30">
        <v>3</v>
      </c>
      <c r="Y13" s="19">
        <f t="shared" si="4"/>
        <v>0.45762711864406747</v>
      </c>
      <c r="Z13" s="14">
        <f t="shared" si="5"/>
        <v>2.5423728813559325</v>
      </c>
      <c r="AA13" s="30">
        <f t="shared" si="6"/>
        <v>0.12</v>
      </c>
      <c r="AB13" s="31">
        <f t="shared" si="7"/>
        <v>0.35135593220339001</v>
      </c>
      <c r="AC13" s="20">
        <f t="shared" si="8"/>
        <v>0.11711864406779667</v>
      </c>
    </row>
    <row r="14" spans="1:29">
      <c r="A14" s="13" t="s">
        <v>42</v>
      </c>
      <c r="B14" s="13" t="s">
        <v>43</v>
      </c>
      <c r="C14" s="13">
        <v>0.35</v>
      </c>
      <c r="D14" s="13" t="s">
        <v>231</v>
      </c>
      <c r="E14" s="13" t="s">
        <v>232</v>
      </c>
      <c r="F14" s="13">
        <v>1.3</v>
      </c>
      <c r="G14" s="13">
        <v>70</v>
      </c>
      <c r="H14" s="13">
        <v>0.32</v>
      </c>
      <c r="I14" s="25">
        <f t="shared" si="9"/>
        <v>0.49</v>
      </c>
      <c r="J14" s="14">
        <f t="shared" si="10"/>
        <v>7.4745762711864394E-2</v>
      </c>
      <c r="K14" s="13">
        <v>3.5</v>
      </c>
      <c r="L14" s="14">
        <v>0.42</v>
      </c>
      <c r="M14" s="25">
        <f t="shared" si="11"/>
        <v>1.47</v>
      </c>
      <c r="N14" s="14">
        <f t="shared" si="12"/>
        <v>0.22423728813559318</v>
      </c>
      <c r="O14" s="24">
        <f t="shared" si="13"/>
        <v>0.41</v>
      </c>
      <c r="P14" s="28">
        <f t="shared" si="14"/>
        <v>2.37</v>
      </c>
      <c r="Q14" s="14">
        <f t="shared" si="15"/>
        <v>2.0710169491525425</v>
      </c>
      <c r="R14" s="29">
        <v>3.5</v>
      </c>
      <c r="S14" s="14">
        <f t="shared" si="0"/>
        <v>0.53389830508474567</v>
      </c>
      <c r="T14" s="14">
        <f t="shared" si="16"/>
        <v>2.9661016949152543</v>
      </c>
      <c r="U14" s="14">
        <f t="shared" si="1"/>
        <v>0.2349152542372881</v>
      </c>
      <c r="V14" s="32">
        <f t="shared" si="2"/>
        <v>0.8950847457627118</v>
      </c>
      <c r="W14" s="20">
        <f t="shared" si="3"/>
        <v>0.25573849878934624</v>
      </c>
      <c r="X14" s="30">
        <v>3</v>
      </c>
      <c r="Y14" s="19">
        <f t="shared" si="4"/>
        <v>0.45762711864406747</v>
      </c>
      <c r="Z14" s="14">
        <f t="shared" si="5"/>
        <v>2.5423728813559325</v>
      </c>
      <c r="AA14" s="30">
        <f t="shared" si="6"/>
        <v>0.12</v>
      </c>
      <c r="AB14" s="31">
        <f t="shared" si="7"/>
        <v>0.35135593220339001</v>
      </c>
      <c r="AC14" s="20">
        <f t="shared" si="8"/>
        <v>0.11711864406779667</v>
      </c>
    </row>
    <row r="15" spans="1:29">
      <c r="A15" s="13" t="s">
        <v>36</v>
      </c>
      <c r="B15" s="13" t="s">
        <v>37</v>
      </c>
      <c r="C15" s="13">
        <v>0.35</v>
      </c>
      <c r="D15" s="13" t="s">
        <v>231</v>
      </c>
      <c r="E15" s="13" t="s">
        <v>232</v>
      </c>
      <c r="F15" s="13">
        <v>1.3</v>
      </c>
      <c r="G15" s="13">
        <v>70</v>
      </c>
      <c r="H15" s="13">
        <v>0.32</v>
      </c>
      <c r="I15" s="25">
        <f t="shared" si="9"/>
        <v>0.49</v>
      </c>
      <c r="J15" s="14">
        <f t="shared" si="10"/>
        <v>7.4745762711864394E-2</v>
      </c>
      <c r="K15" s="13">
        <v>3.5</v>
      </c>
      <c r="L15" s="14">
        <v>0.42</v>
      </c>
      <c r="M15" s="25">
        <f t="shared" si="11"/>
        <v>1.47</v>
      </c>
      <c r="N15" s="14">
        <f t="shared" si="12"/>
        <v>0.22423728813559318</v>
      </c>
      <c r="O15" s="24">
        <f t="shared" si="13"/>
        <v>0.41</v>
      </c>
      <c r="P15" s="28">
        <f t="shared" si="14"/>
        <v>2.37</v>
      </c>
      <c r="Q15" s="14">
        <f t="shared" si="15"/>
        <v>2.0710169491525425</v>
      </c>
      <c r="R15" s="29">
        <v>3.5</v>
      </c>
      <c r="S15" s="14">
        <f t="shared" si="0"/>
        <v>0.53389830508474567</v>
      </c>
      <c r="T15" s="14">
        <f t="shared" si="16"/>
        <v>2.9661016949152543</v>
      </c>
      <c r="U15" s="14">
        <f t="shared" si="1"/>
        <v>0.2349152542372881</v>
      </c>
      <c r="V15" s="32">
        <f t="shared" si="2"/>
        <v>0.8950847457627118</v>
      </c>
      <c r="W15" s="20">
        <f t="shared" si="3"/>
        <v>0.25573849878934624</v>
      </c>
      <c r="X15" s="30">
        <v>3</v>
      </c>
      <c r="Y15" s="19">
        <f t="shared" si="4"/>
        <v>0.45762711864406747</v>
      </c>
      <c r="Z15" s="14">
        <f t="shared" si="5"/>
        <v>2.5423728813559325</v>
      </c>
      <c r="AA15" s="30">
        <f t="shared" si="6"/>
        <v>0.12</v>
      </c>
      <c r="AB15" s="31">
        <f t="shared" si="7"/>
        <v>0.35135593220339001</v>
      </c>
      <c r="AC15" s="20">
        <f t="shared" si="8"/>
        <v>0.11711864406779667</v>
      </c>
    </row>
    <row r="16" spans="1:29">
      <c r="A16" s="13" t="s">
        <v>26</v>
      </c>
      <c r="B16" s="13" t="s">
        <v>27</v>
      </c>
      <c r="C16" s="13">
        <v>0.8</v>
      </c>
      <c r="D16" s="13" t="s">
        <v>226</v>
      </c>
      <c r="E16" s="13" t="s">
        <v>233</v>
      </c>
      <c r="F16" s="13">
        <v>1</v>
      </c>
      <c r="G16" s="13">
        <v>80</v>
      </c>
      <c r="H16" s="13">
        <v>0.32</v>
      </c>
      <c r="I16" s="25">
        <f t="shared" si="9"/>
        <v>0.43</v>
      </c>
      <c r="J16" s="14">
        <f t="shared" si="10"/>
        <v>6.5593220338983016E-2</v>
      </c>
      <c r="K16" s="13">
        <v>3.5</v>
      </c>
      <c r="L16" s="14">
        <v>0.96</v>
      </c>
      <c r="M16" s="25">
        <f t="shared" si="11"/>
        <v>3.36</v>
      </c>
      <c r="N16" s="14">
        <f t="shared" si="12"/>
        <v>0.51254237288135585</v>
      </c>
      <c r="O16" s="24">
        <f t="shared" si="13"/>
        <v>0.31</v>
      </c>
      <c r="P16" s="28">
        <f t="shared" si="14"/>
        <v>4.0999999999999996</v>
      </c>
      <c r="Q16" s="14">
        <f t="shared" si="15"/>
        <v>3.5218644067796609</v>
      </c>
      <c r="R16" s="29">
        <v>8</v>
      </c>
      <c r="S16" s="14">
        <f t="shared" si="0"/>
        <v>1.2203389830508469</v>
      </c>
      <c r="T16" s="14">
        <f t="shared" si="16"/>
        <v>6.7796610169491531</v>
      </c>
      <c r="U16" s="14">
        <f t="shared" si="1"/>
        <v>0.64220338983050795</v>
      </c>
      <c r="V16" s="32">
        <f t="shared" si="2"/>
        <v>3.2577966101694922</v>
      </c>
      <c r="W16" s="20">
        <f t="shared" si="3"/>
        <v>0.40722457627118652</v>
      </c>
      <c r="X16" s="30">
        <v>6.8</v>
      </c>
      <c r="Y16" s="19">
        <f t="shared" si="4"/>
        <v>1.0372881355932204</v>
      </c>
      <c r="Z16" s="14">
        <f t="shared" si="5"/>
        <v>5.7627118644067794</v>
      </c>
      <c r="AA16" s="30">
        <f t="shared" si="6"/>
        <v>0.27200000000000002</v>
      </c>
      <c r="AB16" s="31">
        <f t="shared" si="7"/>
        <v>1.9688474576271184</v>
      </c>
      <c r="AC16" s="20">
        <f t="shared" si="8"/>
        <v>0.28953639082751742</v>
      </c>
    </row>
    <row r="17" spans="1:29">
      <c r="A17" s="18" t="s">
        <v>22</v>
      </c>
      <c r="B17" s="18" t="s">
        <v>23</v>
      </c>
      <c r="C17" s="18">
        <v>0.44500000000000001</v>
      </c>
      <c r="D17" s="18" t="s">
        <v>234</v>
      </c>
      <c r="E17" s="18" t="s">
        <v>228</v>
      </c>
      <c r="F17" s="18">
        <v>1.7</v>
      </c>
      <c r="G17" s="18">
        <v>100</v>
      </c>
      <c r="H17" s="18">
        <v>0.32</v>
      </c>
      <c r="I17" s="25">
        <f t="shared" si="9"/>
        <v>0.91</v>
      </c>
      <c r="J17" s="19">
        <f t="shared" si="10"/>
        <v>0.13881355932203387</v>
      </c>
      <c r="K17" s="18">
        <v>3.5</v>
      </c>
      <c r="L17" s="19">
        <v>0.53</v>
      </c>
      <c r="M17" s="25">
        <f t="shared" si="11"/>
        <v>1.86</v>
      </c>
      <c r="N17" s="19">
        <f t="shared" si="12"/>
        <v>0.28372881355932189</v>
      </c>
      <c r="O17" s="24">
        <f t="shared" si="13"/>
        <v>0.53</v>
      </c>
      <c r="P17" s="28">
        <f t="shared" si="14"/>
        <v>3.3</v>
      </c>
      <c r="Q17" s="19">
        <f t="shared" si="15"/>
        <v>2.8774576271186438</v>
      </c>
      <c r="R17" s="29">
        <v>4.4000000000000004</v>
      </c>
      <c r="S17" s="19">
        <f t="shared" si="0"/>
        <v>0.67118644067796618</v>
      </c>
      <c r="T17" s="19">
        <f t="shared" si="16"/>
        <v>3.7288135593220342</v>
      </c>
      <c r="U17" s="19">
        <f t="shared" si="1"/>
        <v>0.24864406779661041</v>
      </c>
      <c r="V17" s="32">
        <f t="shared" si="2"/>
        <v>0.85135593220339034</v>
      </c>
      <c r="W17" s="20">
        <f t="shared" si="3"/>
        <v>0.1934899845916796</v>
      </c>
      <c r="X17" s="19">
        <v>4</v>
      </c>
      <c r="Y17" s="19">
        <f t="shared" si="4"/>
        <v>0.61016949152542344</v>
      </c>
      <c r="Z17" s="19">
        <f t="shared" si="5"/>
        <v>3.3898305084745766</v>
      </c>
      <c r="AA17" s="30">
        <f t="shared" si="6"/>
        <v>0.16</v>
      </c>
      <c r="AB17" s="31">
        <f t="shared" si="7"/>
        <v>0.3523728813559327</v>
      </c>
      <c r="AC17" s="20">
        <f t="shared" si="8"/>
        <v>8.8093220338983175E-2</v>
      </c>
    </row>
    <row r="18" spans="1:29">
      <c r="A18" s="18" t="s">
        <v>122</v>
      </c>
      <c r="B18" s="18" t="s">
        <v>123</v>
      </c>
      <c r="C18" s="18">
        <v>0.30199999999999999</v>
      </c>
      <c r="D18" s="18" t="s">
        <v>234</v>
      </c>
      <c r="E18" s="18" t="s">
        <v>232</v>
      </c>
      <c r="F18" s="18">
        <v>1.7</v>
      </c>
      <c r="G18" s="18">
        <v>70</v>
      </c>
      <c r="H18" s="18">
        <v>0.32</v>
      </c>
      <c r="I18" s="25">
        <f t="shared" si="9"/>
        <v>0.63</v>
      </c>
      <c r="J18" s="19">
        <f t="shared" si="10"/>
        <v>9.6101694915254221E-2</v>
      </c>
      <c r="K18" s="18">
        <v>3.5</v>
      </c>
      <c r="L18" s="19">
        <v>0.36</v>
      </c>
      <c r="M18" s="25">
        <f t="shared" si="11"/>
        <v>1.26</v>
      </c>
      <c r="N18" s="19">
        <f t="shared" si="12"/>
        <v>0.19220338983050844</v>
      </c>
      <c r="O18" s="24">
        <f t="shared" si="13"/>
        <v>0.53</v>
      </c>
      <c r="P18" s="28">
        <f t="shared" si="14"/>
        <v>2.42</v>
      </c>
      <c r="Q18" s="19">
        <f t="shared" si="15"/>
        <v>2.1316949152542373</v>
      </c>
      <c r="R18" s="29">
        <v>3.25</v>
      </c>
      <c r="S18" s="19">
        <f t="shared" si="0"/>
        <v>0.49576271186440657</v>
      </c>
      <c r="T18" s="19">
        <f t="shared" si="16"/>
        <v>2.7542372881355934</v>
      </c>
      <c r="U18" s="19">
        <f t="shared" si="1"/>
        <v>0.20745762711864391</v>
      </c>
      <c r="V18" s="32">
        <f t="shared" si="2"/>
        <v>0.62254237288135617</v>
      </c>
      <c r="W18" s="20">
        <f t="shared" si="3"/>
        <v>0.19155149934810958</v>
      </c>
      <c r="X18" s="19">
        <v>3</v>
      </c>
      <c r="Y18" s="19">
        <f t="shared" si="4"/>
        <v>0.45762711864406747</v>
      </c>
      <c r="Z18" s="19">
        <f t="shared" si="5"/>
        <v>2.5423728813559325</v>
      </c>
      <c r="AA18" s="30">
        <f t="shared" si="6"/>
        <v>0.12</v>
      </c>
      <c r="AB18" s="31">
        <f t="shared" si="7"/>
        <v>0.29067796610169527</v>
      </c>
      <c r="AC18" s="20">
        <f t="shared" si="8"/>
        <v>9.6892655367231753E-2</v>
      </c>
    </row>
    <row r="19" spans="1:29">
      <c r="A19" s="18" t="s">
        <v>120</v>
      </c>
      <c r="B19" s="18" t="s">
        <v>121</v>
      </c>
      <c r="C19" s="18">
        <v>0.85</v>
      </c>
      <c r="D19" s="18" t="s">
        <v>231</v>
      </c>
      <c r="E19" s="18" t="s">
        <v>228</v>
      </c>
      <c r="F19" s="18">
        <v>1.7</v>
      </c>
      <c r="G19" s="18">
        <v>100</v>
      </c>
      <c r="H19" s="18">
        <v>0.32</v>
      </c>
      <c r="I19" s="25">
        <f t="shared" si="9"/>
        <v>0.91</v>
      </c>
      <c r="J19" s="19">
        <f t="shared" si="10"/>
        <v>0.13881355932203387</v>
      </c>
      <c r="K19" s="18">
        <v>3.5</v>
      </c>
      <c r="L19" s="19">
        <v>1.02</v>
      </c>
      <c r="M19" s="25">
        <f t="shared" si="11"/>
        <v>3.57</v>
      </c>
      <c r="N19" s="19">
        <f t="shared" si="12"/>
        <v>0.54457627118644059</v>
      </c>
      <c r="O19" s="24">
        <f t="shared" si="13"/>
        <v>0.53</v>
      </c>
      <c r="P19" s="28">
        <f t="shared" si="14"/>
        <v>5.01</v>
      </c>
      <c r="Q19" s="19">
        <f t="shared" si="15"/>
        <v>4.3266101694915253</v>
      </c>
      <c r="R19" s="29">
        <v>6.4</v>
      </c>
      <c r="S19" s="19">
        <f t="shared" si="0"/>
        <v>0.97627118644067767</v>
      </c>
      <c r="T19" s="19">
        <f t="shared" si="16"/>
        <v>5.4237288135593227</v>
      </c>
      <c r="U19" s="19">
        <f t="shared" si="1"/>
        <v>0.29288135593220321</v>
      </c>
      <c r="V19" s="32">
        <f t="shared" si="2"/>
        <v>1.0971186440677974</v>
      </c>
      <c r="W19" s="20">
        <f t="shared" si="3"/>
        <v>0.17142478813559334</v>
      </c>
      <c r="X19" s="19">
        <v>5.95</v>
      </c>
      <c r="Y19" s="19">
        <f t="shared" si="4"/>
        <v>0.90762711864406764</v>
      </c>
      <c r="Z19" s="19">
        <f t="shared" si="5"/>
        <v>5.0423728813559325</v>
      </c>
      <c r="AA19" s="30">
        <f t="shared" si="6"/>
        <v>0.23800000000000002</v>
      </c>
      <c r="AB19" s="31">
        <f t="shared" si="7"/>
        <v>0.47776271186440722</v>
      </c>
      <c r="AC19" s="20">
        <f t="shared" si="8"/>
        <v>8.0296254094858355E-2</v>
      </c>
    </row>
    <row r="20" spans="1:29">
      <c r="A20" s="13" t="s">
        <v>114</v>
      </c>
      <c r="B20" s="13" t="s">
        <v>115</v>
      </c>
      <c r="C20" s="13">
        <v>0.67</v>
      </c>
      <c r="D20" s="13" t="s">
        <v>226</v>
      </c>
      <c r="E20" s="13" t="s">
        <v>233</v>
      </c>
      <c r="F20" s="13">
        <v>1.5</v>
      </c>
      <c r="G20" s="13">
        <v>80</v>
      </c>
      <c r="H20" s="13">
        <v>0.32</v>
      </c>
      <c r="I20" s="25">
        <f t="shared" si="9"/>
        <v>0.64</v>
      </c>
      <c r="J20" s="14">
        <f t="shared" si="10"/>
        <v>9.7627118644067812E-2</v>
      </c>
      <c r="K20" s="13">
        <v>3.5</v>
      </c>
      <c r="L20" s="14">
        <v>0.8</v>
      </c>
      <c r="M20" s="25">
        <f t="shared" si="11"/>
        <v>2.8</v>
      </c>
      <c r="N20" s="14">
        <f t="shared" si="12"/>
        <v>0.42711864406779654</v>
      </c>
      <c r="O20" s="24">
        <f t="shared" si="13"/>
        <v>0.47</v>
      </c>
      <c r="P20" s="28">
        <f t="shared" si="14"/>
        <v>3.91</v>
      </c>
      <c r="Q20" s="14">
        <f t="shared" si="15"/>
        <v>3.3852542372881356</v>
      </c>
      <c r="R20" s="29">
        <v>7.5</v>
      </c>
      <c r="S20" s="14">
        <f t="shared" si="0"/>
        <v>1.1440677966101696</v>
      </c>
      <c r="T20" s="14">
        <f t="shared" si="16"/>
        <v>6.3559322033898304</v>
      </c>
      <c r="U20" s="14">
        <f t="shared" si="1"/>
        <v>0.6193220338983052</v>
      </c>
      <c r="V20" s="32">
        <f t="shared" si="2"/>
        <v>2.9706779661016949</v>
      </c>
      <c r="W20" s="20">
        <f t="shared" si="3"/>
        <v>0.39609039548022601</v>
      </c>
      <c r="X20" s="30">
        <v>6.4</v>
      </c>
      <c r="Y20" s="19">
        <f t="shared" si="4"/>
        <v>0.97627118644067767</v>
      </c>
      <c r="Z20" s="14">
        <f t="shared" si="5"/>
        <v>5.4237288135593227</v>
      </c>
      <c r="AA20" s="30">
        <f t="shared" si="6"/>
        <v>0.25600000000000001</v>
      </c>
      <c r="AB20" s="31">
        <f t="shared" si="7"/>
        <v>1.7824745762711871</v>
      </c>
      <c r="AC20" s="20">
        <f t="shared" si="8"/>
        <v>0.27851165254237298</v>
      </c>
    </row>
    <row r="21" spans="1:29">
      <c r="A21" s="18" t="s">
        <v>271</v>
      </c>
      <c r="B21" s="18" t="s">
        <v>134</v>
      </c>
      <c r="C21" s="18">
        <v>0.28000000000000003</v>
      </c>
      <c r="D21" s="18" t="s">
        <v>234</v>
      </c>
      <c r="E21" s="18" t="s">
        <v>232</v>
      </c>
      <c r="F21" s="18">
        <v>1.5</v>
      </c>
      <c r="G21" s="18">
        <v>70</v>
      </c>
      <c r="H21" s="18">
        <v>0.32</v>
      </c>
      <c r="I21" s="25">
        <f t="shared" si="9"/>
        <v>0.56000000000000005</v>
      </c>
      <c r="J21" s="19">
        <f t="shared" si="10"/>
        <v>8.5423728813559308E-2</v>
      </c>
      <c r="K21" s="18">
        <v>3.5</v>
      </c>
      <c r="L21" s="19">
        <v>0.34</v>
      </c>
      <c r="M21" s="25">
        <f t="shared" si="11"/>
        <v>1.19</v>
      </c>
      <c r="N21" s="19">
        <f t="shared" si="12"/>
        <v>0.18152542372881353</v>
      </c>
      <c r="O21" s="24">
        <f t="shared" si="13"/>
        <v>0.47</v>
      </c>
      <c r="P21" s="28">
        <f t="shared" si="14"/>
        <v>2.2200000000000002</v>
      </c>
      <c r="Q21" s="19">
        <f t="shared" si="15"/>
        <v>1.9530508474576274</v>
      </c>
      <c r="R21" s="29">
        <v>2.7</v>
      </c>
      <c r="S21" s="19">
        <f t="shared" si="0"/>
        <v>0.41186440677966107</v>
      </c>
      <c r="T21" s="19">
        <f t="shared" si="16"/>
        <v>2.2881355932203391</v>
      </c>
      <c r="U21" s="19">
        <f t="shared" si="1"/>
        <v>0.14491525423728824</v>
      </c>
      <c r="V21" s="32">
        <f t="shared" si="2"/>
        <v>0.33508474576271174</v>
      </c>
      <c r="W21" s="20">
        <f t="shared" si="3"/>
        <v>0.12410546139359693</v>
      </c>
      <c r="X21" s="19">
        <v>2.7</v>
      </c>
      <c r="Y21" s="19">
        <f t="shared" si="4"/>
        <v>0.41186440677966107</v>
      </c>
      <c r="Z21" s="19">
        <f t="shared" si="5"/>
        <v>2.2881355932203391</v>
      </c>
      <c r="AA21" s="30">
        <f t="shared" si="6"/>
        <v>0.10800000000000001</v>
      </c>
      <c r="AB21" s="31">
        <f t="shared" si="7"/>
        <v>0.22708474576271173</v>
      </c>
      <c r="AC21" s="20">
        <f t="shared" si="8"/>
        <v>8.4105461393596925E-2</v>
      </c>
    </row>
    <row r="22" spans="1:29">
      <c r="A22" s="13" t="s">
        <v>96</v>
      </c>
      <c r="B22" s="13" t="s">
        <v>97</v>
      </c>
      <c r="C22" s="13">
        <v>0.28000000000000003</v>
      </c>
      <c r="D22" s="13" t="s">
        <v>234</v>
      </c>
      <c r="E22" s="13" t="s">
        <v>232</v>
      </c>
      <c r="F22" s="13">
        <v>1.7</v>
      </c>
      <c r="G22" s="13">
        <v>70</v>
      </c>
      <c r="H22" s="13">
        <v>0.32</v>
      </c>
      <c r="I22" s="25">
        <f t="shared" si="9"/>
        <v>0.63</v>
      </c>
      <c r="J22" s="14">
        <f t="shared" si="10"/>
        <v>9.6101694915254221E-2</v>
      </c>
      <c r="K22" s="13">
        <v>3.5</v>
      </c>
      <c r="L22" s="14">
        <v>0.34</v>
      </c>
      <c r="M22" s="25">
        <f t="shared" si="11"/>
        <v>1.19</v>
      </c>
      <c r="N22" s="14">
        <f t="shared" si="12"/>
        <v>0.18152542372881353</v>
      </c>
      <c r="O22" s="24">
        <f t="shared" si="13"/>
        <v>0.53</v>
      </c>
      <c r="P22" s="28">
        <f t="shared" si="14"/>
        <v>2.35</v>
      </c>
      <c r="Q22" s="14">
        <f t="shared" si="15"/>
        <v>2.0723728813559323</v>
      </c>
      <c r="R22" s="29">
        <v>3.5</v>
      </c>
      <c r="S22" s="14">
        <f t="shared" si="0"/>
        <v>0.53389830508474567</v>
      </c>
      <c r="T22" s="14">
        <f t="shared" si="16"/>
        <v>2.9661016949152543</v>
      </c>
      <c r="U22" s="14">
        <f t="shared" si="1"/>
        <v>0.25627118644067792</v>
      </c>
      <c r="V22" s="32">
        <f t="shared" si="2"/>
        <v>0.89372881355932199</v>
      </c>
      <c r="W22" s="20">
        <f t="shared" si="3"/>
        <v>0.25535108958837771</v>
      </c>
      <c r="X22" s="30">
        <v>3</v>
      </c>
      <c r="Y22" s="19">
        <f t="shared" si="4"/>
        <v>0.45762711864406747</v>
      </c>
      <c r="Z22" s="14">
        <f t="shared" si="5"/>
        <v>2.5423728813559325</v>
      </c>
      <c r="AA22" s="30">
        <f t="shared" si="6"/>
        <v>0.12</v>
      </c>
      <c r="AB22" s="31">
        <f t="shared" si="7"/>
        <v>0.3500000000000002</v>
      </c>
      <c r="AC22" s="20">
        <f t="shared" si="8"/>
        <v>0.11666666666666674</v>
      </c>
    </row>
    <row r="23" spans="1:29">
      <c r="A23" s="18" t="s">
        <v>94</v>
      </c>
      <c r="B23" s="18" t="s">
        <v>95</v>
      </c>
      <c r="C23" s="18">
        <v>0.63</v>
      </c>
      <c r="D23" s="18" t="s">
        <v>226</v>
      </c>
      <c r="E23" s="18" t="s">
        <v>227</v>
      </c>
      <c r="F23" s="18">
        <v>1.7</v>
      </c>
      <c r="G23" s="18">
        <v>120</v>
      </c>
      <c r="H23" s="18">
        <v>0.32</v>
      </c>
      <c r="I23" s="25">
        <f t="shared" si="9"/>
        <v>1.0900000000000001</v>
      </c>
      <c r="J23" s="19">
        <f t="shared" si="10"/>
        <v>0.16627118644067795</v>
      </c>
      <c r="K23" s="18">
        <v>3.5</v>
      </c>
      <c r="L23" s="19">
        <v>0.76</v>
      </c>
      <c r="M23" s="25">
        <f t="shared" si="11"/>
        <v>2.66</v>
      </c>
      <c r="N23" s="19">
        <f t="shared" si="12"/>
        <v>0.40576271186440671</v>
      </c>
      <c r="O23" s="24">
        <f t="shared" si="13"/>
        <v>0.53</v>
      </c>
      <c r="P23" s="28">
        <f t="shared" si="14"/>
        <v>4.28</v>
      </c>
      <c r="Q23" s="19">
        <f t="shared" si="15"/>
        <v>3.7079661016949155</v>
      </c>
      <c r="R23" s="29">
        <v>5.5</v>
      </c>
      <c r="S23" s="19">
        <f t="shared" si="0"/>
        <v>0.83898305084745761</v>
      </c>
      <c r="T23" s="19">
        <f t="shared" si="16"/>
        <v>4.6610169491525424</v>
      </c>
      <c r="U23" s="19">
        <f t="shared" si="1"/>
        <v>0.26694915254237295</v>
      </c>
      <c r="V23" s="32">
        <f t="shared" si="2"/>
        <v>0.95305084745762692</v>
      </c>
      <c r="W23" s="20">
        <f t="shared" si="3"/>
        <v>0.17328197226502307</v>
      </c>
      <c r="X23" s="19">
        <v>5</v>
      </c>
      <c r="Y23" s="19">
        <f t="shared" si="4"/>
        <v>0.76271186440677941</v>
      </c>
      <c r="Z23" s="19">
        <f t="shared" si="5"/>
        <v>4.2372881355932206</v>
      </c>
      <c r="AA23" s="30">
        <f t="shared" si="6"/>
        <v>0.2</v>
      </c>
      <c r="AB23" s="31">
        <f t="shared" si="7"/>
        <v>0.32932203389830511</v>
      </c>
      <c r="AC23" s="20">
        <f t="shared" si="8"/>
        <v>6.5864406779661017E-2</v>
      </c>
    </row>
    <row r="24" spans="1:29">
      <c r="A24" s="13" t="s">
        <v>52</v>
      </c>
      <c r="B24" s="13" t="s">
        <v>53</v>
      </c>
      <c r="C24" s="13">
        <v>0.75</v>
      </c>
      <c r="D24" s="13" t="s">
        <v>235</v>
      </c>
      <c r="E24" s="13" t="s">
        <v>227</v>
      </c>
      <c r="F24" s="13">
        <v>1.8</v>
      </c>
      <c r="G24" s="13">
        <v>120</v>
      </c>
      <c r="H24" s="13">
        <v>0.32</v>
      </c>
      <c r="I24" s="25">
        <f t="shared" si="9"/>
        <v>1.1499999999999999</v>
      </c>
      <c r="J24" s="14">
        <f t="shared" si="10"/>
        <v>0.17542372881355928</v>
      </c>
      <c r="K24" s="13">
        <v>3.5</v>
      </c>
      <c r="L24" s="14">
        <v>0.9</v>
      </c>
      <c r="M24" s="25">
        <f t="shared" si="11"/>
        <v>3.15</v>
      </c>
      <c r="N24" s="14">
        <f t="shared" si="12"/>
        <v>0.48050847457627111</v>
      </c>
      <c r="O24" s="24">
        <f t="shared" si="13"/>
        <v>0.56000000000000005</v>
      </c>
      <c r="P24" s="28">
        <f t="shared" si="14"/>
        <v>4.8600000000000003</v>
      </c>
      <c r="Q24" s="14">
        <f t="shared" si="15"/>
        <v>4.20406779661017</v>
      </c>
      <c r="R24" s="29">
        <v>9</v>
      </c>
      <c r="S24" s="14">
        <f t="shared" si="0"/>
        <v>1.3728813559322033</v>
      </c>
      <c r="T24" s="14">
        <f t="shared" si="16"/>
        <v>7.6271186440677967</v>
      </c>
      <c r="U24" s="14">
        <f t="shared" si="1"/>
        <v>0.7169491525423729</v>
      </c>
      <c r="V24" s="32">
        <f t="shared" si="2"/>
        <v>3.4230508474576267</v>
      </c>
      <c r="W24" s="20">
        <f t="shared" si="3"/>
        <v>0.3803389830508474</v>
      </c>
      <c r="X24" s="30">
        <v>7.65</v>
      </c>
      <c r="Y24" s="19">
        <f t="shared" si="4"/>
        <v>1.1669491525423723</v>
      </c>
      <c r="Z24" s="14">
        <f t="shared" si="5"/>
        <v>6.4830508474576281</v>
      </c>
      <c r="AA24" s="30">
        <f t="shared" si="6"/>
        <v>0.30599999999999999</v>
      </c>
      <c r="AB24" s="31">
        <f t="shared" si="7"/>
        <v>1.972983050847458</v>
      </c>
      <c r="AC24" s="20">
        <f t="shared" si="8"/>
        <v>0.25790628115653041</v>
      </c>
    </row>
    <row r="25" spans="1:29">
      <c r="A25" s="13" t="s">
        <v>46</v>
      </c>
      <c r="B25" s="13" t="s">
        <v>47</v>
      </c>
      <c r="C25" s="13">
        <v>0.106</v>
      </c>
      <c r="D25" s="13" t="s">
        <v>226</v>
      </c>
      <c r="E25" s="13" t="s">
        <v>236</v>
      </c>
      <c r="F25" s="13">
        <v>1</v>
      </c>
      <c r="G25" s="13">
        <v>50</v>
      </c>
      <c r="H25" s="13">
        <v>0.32</v>
      </c>
      <c r="I25" s="25">
        <f t="shared" si="9"/>
        <v>0.27</v>
      </c>
      <c r="J25" s="14">
        <f t="shared" si="10"/>
        <v>4.1186440677966091E-2</v>
      </c>
      <c r="K25" s="13">
        <v>3.5</v>
      </c>
      <c r="L25" s="14">
        <v>0.13</v>
      </c>
      <c r="M25" s="25">
        <f t="shared" si="11"/>
        <v>0.46</v>
      </c>
      <c r="N25" s="14">
        <f t="shared" si="12"/>
        <v>7.0169491525423733E-2</v>
      </c>
      <c r="O25" s="24">
        <f t="shared" si="13"/>
        <v>0.31</v>
      </c>
      <c r="P25" s="28">
        <f t="shared" si="14"/>
        <v>1.04</v>
      </c>
      <c r="Q25" s="14">
        <f t="shared" si="15"/>
        <v>0.92864406779661024</v>
      </c>
      <c r="R25" s="29">
        <v>2</v>
      </c>
      <c r="S25" s="14">
        <f t="shared" si="0"/>
        <v>0.30508474576271172</v>
      </c>
      <c r="T25" s="14">
        <f t="shared" si="16"/>
        <v>1.6949152542372883</v>
      </c>
      <c r="U25" s="14">
        <f t="shared" si="1"/>
        <v>0.19372881355932189</v>
      </c>
      <c r="V25" s="32">
        <f t="shared" si="2"/>
        <v>0.76627118644067804</v>
      </c>
      <c r="W25" s="20">
        <f t="shared" si="3"/>
        <v>0.38313559322033902</v>
      </c>
      <c r="X25" s="30">
        <v>1.7</v>
      </c>
      <c r="Y25" s="19">
        <f t="shared" si="4"/>
        <v>0.2593220338983051</v>
      </c>
      <c r="Z25" s="14">
        <f t="shared" si="5"/>
        <v>1.4406779661016949</v>
      </c>
      <c r="AA25" s="30">
        <f t="shared" si="6"/>
        <v>6.8000000000000005E-2</v>
      </c>
      <c r="AB25" s="31">
        <f t="shared" si="7"/>
        <v>0.44403389830508461</v>
      </c>
      <c r="AC25" s="20">
        <f t="shared" si="8"/>
        <v>0.26119641076769684</v>
      </c>
    </row>
    <row r="26" spans="1:29">
      <c r="A26" s="13" t="s">
        <v>124</v>
      </c>
      <c r="B26" s="13" t="s">
        <v>125</v>
      </c>
      <c r="C26" s="13">
        <v>0.106</v>
      </c>
      <c r="D26" s="13" t="s">
        <v>226</v>
      </c>
      <c r="E26" s="13" t="s">
        <v>236</v>
      </c>
      <c r="F26" s="13">
        <v>1</v>
      </c>
      <c r="G26" s="13">
        <v>50</v>
      </c>
      <c r="H26" s="13">
        <v>0.32</v>
      </c>
      <c r="I26" s="25">
        <f t="shared" si="9"/>
        <v>0.27</v>
      </c>
      <c r="J26" s="14">
        <f t="shared" si="10"/>
        <v>4.1186440677966091E-2</v>
      </c>
      <c r="K26" s="13">
        <v>3.5</v>
      </c>
      <c r="L26" s="14">
        <v>0.13</v>
      </c>
      <c r="M26" s="25">
        <f t="shared" si="11"/>
        <v>0.46</v>
      </c>
      <c r="N26" s="14">
        <f t="shared" si="12"/>
        <v>7.0169491525423733E-2</v>
      </c>
      <c r="O26" s="24">
        <f t="shared" si="13"/>
        <v>0.31</v>
      </c>
      <c r="P26" s="28">
        <f t="shared" si="14"/>
        <v>1.04</v>
      </c>
      <c r="Q26" s="14">
        <f t="shared" si="15"/>
        <v>0.92864406779661024</v>
      </c>
      <c r="R26" s="29">
        <v>2</v>
      </c>
      <c r="S26" s="14">
        <f t="shared" si="0"/>
        <v>0.30508474576271172</v>
      </c>
      <c r="T26" s="14">
        <f t="shared" si="16"/>
        <v>1.6949152542372883</v>
      </c>
      <c r="U26" s="14">
        <f t="shared" si="1"/>
        <v>0.19372881355932189</v>
      </c>
      <c r="V26" s="32">
        <f t="shared" si="2"/>
        <v>0.76627118644067804</v>
      </c>
      <c r="W26" s="20">
        <f t="shared" si="3"/>
        <v>0.38313559322033902</v>
      </c>
      <c r="X26" s="30">
        <v>1.7</v>
      </c>
      <c r="Y26" s="19">
        <f t="shared" si="4"/>
        <v>0.2593220338983051</v>
      </c>
      <c r="Z26" s="14">
        <f t="shared" si="5"/>
        <v>1.4406779661016949</v>
      </c>
      <c r="AA26" s="30">
        <f t="shared" si="6"/>
        <v>6.8000000000000005E-2</v>
      </c>
      <c r="AB26" s="31">
        <f t="shared" si="7"/>
        <v>0.44403389830508461</v>
      </c>
      <c r="AC26" s="20">
        <f t="shared" si="8"/>
        <v>0.26119641076769684</v>
      </c>
    </row>
    <row r="27" spans="1:29">
      <c r="A27" s="18" t="s">
        <v>44</v>
      </c>
      <c r="B27" s="18" t="s">
        <v>45</v>
      </c>
      <c r="C27" s="18">
        <v>0.106</v>
      </c>
      <c r="D27" s="18" t="s">
        <v>226</v>
      </c>
      <c r="E27" s="18" t="s">
        <v>236</v>
      </c>
      <c r="F27" s="18">
        <v>1</v>
      </c>
      <c r="G27" s="18">
        <v>50</v>
      </c>
      <c r="H27" s="18">
        <v>0.32</v>
      </c>
      <c r="I27" s="25">
        <f t="shared" si="9"/>
        <v>0.27</v>
      </c>
      <c r="J27" s="19">
        <f t="shared" si="10"/>
        <v>4.1186440677966091E-2</v>
      </c>
      <c r="K27" s="18">
        <v>6.65</v>
      </c>
      <c r="L27" s="19">
        <v>0.13</v>
      </c>
      <c r="M27" s="25">
        <f t="shared" si="11"/>
        <v>0.86</v>
      </c>
      <c r="N27" s="19">
        <f t="shared" si="12"/>
        <v>0.13118644067796603</v>
      </c>
      <c r="O27" s="24">
        <f t="shared" si="13"/>
        <v>0.31</v>
      </c>
      <c r="P27" s="28">
        <f t="shared" si="14"/>
        <v>1.44</v>
      </c>
      <c r="Q27" s="19">
        <f t="shared" si="15"/>
        <v>1.2676271186440677</v>
      </c>
      <c r="R27" s="29">
        <v>2</v>
      </c>
      <c r="S27" s="19">
        <f t="shared" si="0"/>
        <v>0.30508474576271172</v>
      </c>
      <c r="T27" s="19">
        <f t="shared" si="16"/>
        <v>1.6949152542372883</v>
      </c>
      <c r="U27" s="19">
        <f t="shared" si="1"/>
        <v>0.13271186440677959</v>
      </c>
      <c r="V27" s="32">
        <f t="shared" si="2"/>
        <v>0.42728813559322054</v>
      </c>
      <c r="W27" s="20">
        <f t="shared" si="3"/>
        <v>0.21364406779661027</v>
      </c>
      <c r="X27" s="19">
        <v>2</v>
      </c>
      <c r="Y27" s="19">
        <f t="shared" si="4"/>
        <v>0.30508474576271172</v>
      </c>
      <c r="Z27" s="19">
        <f t="shared" si="5"/>
        <v>1.6949152542372883</v>
      </c>
      <c r="AA27" s="30">
        <f t="shared" si="6"/>
        <v>0.08</v>
      </c>
      <c r="AB27" s="31">
        <f t="shared" si="7"/>
        <v>0.34728813559322053</v>
      </c>
      <c r="AC27" s="20">
        <f t="shared" si="8"/>
        <v>0.17364406779661026</v>
      </c>
    </row>
    <row r="28" spans="1:29">
      <c r="A28" s="13" t="s">
        <v>48</v>
      </c>
      <c r="B28" s="13" t="s">
        <v>49</v>
      </c>
      <c r="C28" s="13">
        <v>0.112</v>
      </c>
      <c r="D28" s="13" t="s">
        <v>226</v>
      </c>
      <c r="E28" s="13" t="s">
        <v>236</v>
      </c>
      <c r="F28" s="13">
        <v>1</v>
      </c>
      <c r="G28" s="13">
        <v>50</v>
      </c>
      <c r="H28" s="13">
        <v>0.32</v>
      </c>
      <c r="I28" s="25">
        <f t="shared" si="9"/>
        <v>0.27</v>
      </c>
      <c r="J28" s="14">
        <f t="shared" si="10"/>
        <v>4.1186440677966091E-2</v>
      </c>
      <c r="K28" s="13">
        <v>3.5</v>
      </c>
      <c r="L28" s="14">
        <v>0.13</v>
      </c>
      <c r="M28" s="25">
        <f t="shared" si="11"/>
        <v>0.46</v>
      </c>
      <c r="N28" s="14">
        <f t="shared" si="12"/>
        <v>7.0169491525423733E-2</v>
      </c>
      <c r="O28" s="24">
        <f t="shared" si="13"/>
        <v>0.31</v>
      </c>
      <c r="P28" s="28">
        <f t="shared" si="14"/>
        <v>1.04</v>
      </c>
      <c r="Q28" s="14">
        <f t="shared" si="15"/>
        <v>0.92864406779661024</v>
      </c>
      <c r="R28" s="29">
        <v>1.8</v>
      </c>
      <c r="S28" s="14">
        <f t="shared" si="0"/>
        <v>0.27457627118644057</v>
      </c>
      <c r="T28" s="14">
        <f t="shared" si="16"/>
        <v>1.5254237288135595</v>
      </c>
      <c r="U28" s="14">
        <f t="shared" si="1"/>
        <v>0.16322033898305074</v>
      </c>
      <c r="V28" s="32">
        <f t="shared" si="2"/>
        <v>0.59677966101694924</v>
      </c>
      <c r="W28" s="20">
        <f t="shared" si="3"/>
        <v>0.33154425612052735</v>
      </c>
      <c r="X28" s="30">
        <v>1.55</v>
      </c>
      <c r="Y28" s="19">
        <f t="shared" si="4"/>
        <v>0.23644067796610169</v>
      </c>
      <c r="Z28" s="14">
        <f t="shared" si="5"/>
        <v>1.3135593220338984</v>
      </c>
      <c r="AA28" s="30">
        <f t="shared" si="6"/>
        <v>6.2000000000000006E-2</v>
      </c>
      <c r="AB28" s="31">
        <f t="shared" si="7"/>
        <v>0.32291525423728812</v>
      </c>
      <c r="AC28" s="20">
        <f t="shared" si="8"/>
        <v>0.20833242208857297</v>
      </c>
    </row>
    <row r="29" spans="1:29">
      <c r="A29" s="13" t="s">
        <v>32</v>
      </c>
      <c r="B29" s="13" t="s">
        <v>33</v>
      </c>
      <c r="C29" s="13">
        <v>9.1999999999999998E-2</v>
      </c>
      <c r="D29" s="13" t="s">
        <v>231</v>
      </c>
      <c r="E29" s="13" t="s">
        <v>236</v>
      </c>
      <c r="F29" s="13">
        <v>1</v>
      </c>
      <c r="G29" s="13">
        <v>50</v>
      </c>
      <c r="H29" s="13">
        <v>0.32</v>
      </c>
      <c r="I29" s="25">
        <f t="shared" si="9"/>
        <v>0.27</v>
      </c>
      <c r="J29" s="14">
        <f t="shared" si="10"/>
        <v>4.1186440677966091E-2</v>
      </c>
      <c r="K29" s="13">
        <v>3.5</v>
      </c>
      <c r="L29" s="14">
        <v>0.11</v>
      </c>
      <c r="M29" s="25">
        <f t="shared" si="11"/>
        <v>0.39</v>
      </c>
      <c r="N29" s="14">
        <f t="shared" si="12"/>
        <v>5.9491525423728819E-2</v>
      </c>
      <c r="O29" s="24">
        <f t="shared" si="13"/>
        <v>0.31</v>
      </c>
      <c r="P29" s="28">
        <f t="shared" si="14"/>
        <v>0.97</v>
      </c>
      <c r="Q29" s="14">
        <f t="shared" si="15"/>
        <v>0.86932203389830509</v>
      </c>
      <c r="R29" s="29">
        <v>1.8</v>
      </c>
      <c r="S29" s="14">
        <f t="shared" si="0"/>
        <v>0.27457627118644057</v>
      </c>
      <c r="T29" s="14">
        <f t="shared" si="16"/>
        <v>1.5254237288135595</v>
      </c>
      <c r="U29" s="14">
        <f t="shared" si="1"/>
        <v>0.17389830508474566</v>
      </c>
      <c r="V29" s="32">
        <f t="shared" si="2"/>
        <v>0.65610169491525439</v>
      </c>
      <c r="W29" s="20">
        <f t="shared" si="3"/>
        <v>0.36450094161958574</v>
      </c>
      <c r="X29" s="30">
        <v>1.55</v>
      </c>
      <c r="Y29" s="19">
        <f t="shared" si="4"/>
        <v>0.23644067796610169</v>
      </c>
      <c r="Z29" s="14">
        <f t="shared" si="5"/>
        <v>1.3135593220338984</v>
      </c>
      <c r="AA29" s="30">
        <f t="shared" si="6"/>
        <v>6.2000000000000006E-2</v>
      </c>
      <c r="AB29" s="31">
        <f t="shared" si="7"/>
        <v>0.38223728813559327</v>
      </c>
      <c r="AC29" s="20">
        <f t="shared" si="8"/>
        <v>0.24660470202296339</v>
      </c>
    </row>
    <row r="30" spans="1:29">
      <c r="A30" s="13" t="s">
        <v>30</v>
      </c>
      <c r="B30" s="13" t="s">
        <v>31</v>
      </c>
      <c r="C30" s="13">
        <v>9.1999999999999998E-2</v>
      </c>
      <c r="D30" s="13" t="s">
        <v>231</v>
      </c>
      <c r="E30" s="13" t="s">
        <v>236</v>
      </c>
      <c r="F30" s="13">
        <v>1</v>
      </c>
      <c r="G30" s="13">
        <v>50</v>
      </c>
      <c r="H30" s="13">
        <v>0.32</v>
      </c>
      <c r="I30" s="25">
        <f t="shared" si="9"/>
        <v>0.27</v>
      </c>
      <c r="J30" s="14">
        <f t="shared" si="10"/>
        <v>4.1186440677966091E-2</v>
      </c>
      <c r="K30" s="13">
        <v>3.5</v>
      </c>
      <c r="L30" s="14">
        <v>0.11</v>
      </c>
      <c r="M30" s="25">
        <f t="shared" si="11"/>
        <v>0.39</v>
      </c>
      <c r="N30" s="14">
        <f t="shared" si="12"/>
        <v>5.9491525423728819E-2</v>
      </c>
      <c r="O30" s="24">
        <f t="shared" si="13"/>
        <v>0.31</v>
      </c>
      <c r="P30" s="28">
        <f t="shared" si="14"/>
        <v>0.97</v>
      </c>
      <c r="Q30" s="14">
        <f t="shared" si="15"/>
        <v>0.86932203389830509</v>
      </c>
      <c r="R30" s="29">
        <v>1.8</v>
      </c>
      <c r="S30" s="14">
        <f t="shared" si="0"/>
        <v>0.27457627118644057</v>
      </c>
      <c r="T30" s="14">
        <f t="shared" si="16"/>
        <v>1.5254237288135595</v>
      </c>
      <c r="U30" s="14">
        <f t="shared" si="1"/>
        <v>0.17389830508474566</v>
      </c>
      <c r="V30" s="32">
        <f t="shared" si="2"/>
        <v>0.65610169491525439</v>
      </c>
      <c r="W30" s="20">
        <f t="shared" si="3"/>
        <v>0.36450094161958574</v>
      </c>
      <c r="X30" s="30">
        <v>1.55</v>
      </c>
      <c r="Y30" s="19">
        <f t="shared" si="4"/>
        <v>0.23644067796610169</v>
      </c>
      <c r="Z30" s="14">
        <f t="shared" si="5"/>
        <v>1.3135593220338984</v>
      </c>
      <c r="AA30" s="30">
        <f t="shared" si="6"/>
        <v>6.2000000000000006E-2</v>
      </c>
      <c r="AB30" s="31">
        <f t="shared" si="7"/>
        <v>0.38223728813559327</v>
      </c>
      <c r="AC30" s="20">
        <f t="shared" si="8"/>
        <v>0.24660470202296339</v>
      </c>
    </row>
    <row r="31" spans="1:29">
      <c r="A31" s="13" t="s">
        <v>34</v>
      </c>
      <c r="B31" s="13" t="s">
        <v>35</v>
      </c>
      <c r="C31" s="13">
        <v>9.1999999999999998E-2</v>
      </c>
      <c r="D31" s="13" t="s">
        <v>231</v>
      </c>
      <c r="E31" s="13" t="s">
        <v>236</v>
      </c>
      <c r="F31" s="13">
        <v>1</v>
      </c>
      <c r="G31" s="13">
        <v>50</v>
      </c>
      <c r="H31" s="13">
        <v>0.32</v>
      </c>
      <c r="I31" s="25">
        <f t="shared" si="9"/>
        <v>0.27</v>
      </c>
      <c r="J31" s="14">
        <f t="shared" si="10"/>
        <v>4.1186440677966091E-2</v>
      </c>
      <c r="K31" s="13">
        <v>3.5</v>
      </c>
      <c r="L31" s="14">
        <v>0.11</v>
      </c>
      <c r="M31" s="25">
        <f t="shared" si="11"/>
        <v>0.39</v>
      </c>
      <c r="N31" s="14">
        <f t="shared" si="12"/>
        <v>5.9491525423728819E-2</v>
      </c>
      <c r="O31" s="24">
        <f t="shared" si="13"/>
        <v>0.31</v>
      </c>
      <c r="P31" s="28">
        <f t="shared" si="14"/>
        <v>0.97</v>
      </c>
      <c r="Q31" s="14">
        <f t="shared" si="15"/>
        <v>0.86932203389830509</v>
      </c>
      <c r="R31" s="29">
        <v>1.8</v>
      </c>
      <c r="S31" s="14">
        <f t="shared" si="0"/>
        <v>0.27457627118644057</v>
      </c>
      <c r="T31" s="14">
        <f t="shared" si="16"/>
        <v>1.5254237288135595</v>
      </c>
      <c r="U31" s="14">
        <f t="shared" si="1"/>
        <v>0.17389830508474566</v>
      </c>
      <c r="V31" s="32">
        <f t="shared" si="2"/>
        <v>0.65610169491525439</v>
      </c>
      <c r="W31" s="20">
        <f t="shared" si="3"/>
        <v>0.36450094161958574</v>
      </c>
      <c r="X31" s="30">
        <v>1.55</v>
      </c>
      <c r="Y31" s="19">
        <f t="shared" si="4"/>
        <v>0.23644067796610169</v>
      </c>
      <c r="Z31" s="14">
        <f t="shared" si="5"/>
        <v>1.3135593220338984</v>
      </c>
      <c r="AA31" s="30">
        <f t="shared" si="6"/>
        <v>6.2000000000000006E-2</v>
      </c>
      <c r="AB31" s="31">
        <f t="shared" si="7"/>
        <v>0.38223728813559327</v>
      </c>
      <c r="AC31" s="20">
        <f t="shared" si="8"/>
        <v>0.24660470202296339</v>
      </c>
    </row>
    <row r="32" spans="1:29">
      <c r="A32" s="13" t="s">
        <v>28</v>
      </c>
      <c r="B32" s="13" t="s">
        <v>29</v>
      </c>
      <c r="C32" s="13">
        <v>1.1000000000000001</v>
      </c>
      <c r="D32" s="13" t="s">
        <v>231</v>
      </c>
      <c r="E32" s="13" t="s">
        <v>227</v>
      </c>
      <c r="F32" s="13">
        <v>1.8</v>
      </c>
      <c r="G32" s="13">
        <v>120</v>
      </c>
      <c r="H32" s="13">
        <v>0.32</v>
      </c>
      <c r="I32" s="25">
        <f t="shared" si="9"/>
        <v>1.1499999999999999</v>
      </c>
      <c r="J32" s="14">
        <f t="shared" si="10"/>
        <v>0.17542372881355928</v>
      </c>
      <c r="K32" s="13">
        <v>3.5</v>
      </c>
      <c r="L32" s="14">
        <v>1.32</v>
      </c>
      <c r="M32" s="25">
        <f t="shared" si="11"/>
        <v>4.62</v>
      </c>
      <c r="N32" s="14">
        <f t="shared" si="12"/>
        <v>0.70474576271186429</v>
      </c>
      <c r="O32" s="24">
        <f t="shared" si="13"/>
        <v>0.56000000000000005</v>
      </c>
      <c r="P32" s="28">
        <f t="shared" si="14"/>
        <v>6.33</v>
      </c>
      <c r="Q32" s="14">
        <f t="shared" si="15"/>
        <v>5.4498305084745766</v>
      </c>
      <c r="R32" s="29">
        <v>9</v>
      </c>
      <c r="S32" s="14">
        <f t="shared" si="0"/>
        <v>1.3728813559322033</v>
      </c>
      <c r="T32" s="14">
        <f t="shared" si="16"/>
        <v>7.6271186440677967</v>
      </c>
      <c r="U32" s="14">
        <f t="shared" si="1"/>
        <v>0.49271186440677972</v>
      </c>
      <c r="V32" s="32">
        <f t="shared" si="2"/>
        <v>2.1772881355932201</v>
      </c>
      <c r="W32" s="20">
        <f t="shared" si="3"/>
        <v>0.24192090395480223</v>
      </c>
      <c r="X32" s="30">
        <v>7.65</v>
      </c>
      <c r="Y32" s="19">
        <f t="shared" si="4"/>
        <v>1.1669491525423723</v>
      </c>
      <c r="Z32" s="14">
        <f t="shared" si="5"/>
        <v>6.4830508474576281</v>
      </c>
      <c r="AA32" s="30">
        <f t="shared" si="6"/>
        <v>0.30599999999999999</v>
      </c>
      <c r="AB32" s="31">
        <f t="shared" si="7"/>
        <v>0.72722033898305138</v>
      </c>
      <c r="AC32" s="20">
        <f t="shared" si="8"/>
        <v>9.506148222000671E-2</v>
      </c>
    </row>
    <row r="33" spans="1:29">
      <c r="A33" s="13" t="s">
        <v>14</v>
      </c>
      <c r="B33" s="13" t="s">
        <v>15</v>
      </c>
      <c r="C33" s="13">
        <v>0.125</v>
      </c>
      <c r="D33" s="13" t="s">
        <v>226</v>
      </c>
      <c r="E33" s="13" t="s">
        <v>236</v>
      </c>
      <c r="F33" s="13">
        <v>1</v>
      </c>
      <c r="G33" s="13">
        <v>50</v>
      </c>
      <c r="H33" s="13">
        <v>0.32</v>
      </c>
      <c r="I33" s="25">
        <f t="shared" si="9"/>
        <v>0.27</v>
      </c>
      <c r="J33" s="14">
        <f t="shared" si="10"/>
        <v>4.1186440677966091E-2</v>
      </c>
      <c r="K33" s="13">
        <v>3.5</v>
      </c>
      <c r="L33" s="14">
        <v>0.15</v>
      </c>
      <c r="M33" s="25">
        <f t="shared" si="11"/>
        <v>0.53</v>
      </c>
      <c r="N33" s="14">
        <f t="shared" si="12"/>
        <v>8.0847457627118646E-2</v>
      </c>
      <c r="O33" s="24">
        <f t="shared" si="13"/>
        <v>0.31</v>
      </c>
      <c r="P33" s="28">
        <f t="shared" si="14"/>
        <v>1.1100000000000001</v>
      </c>
      <c r="Q33" s="14">
        <f t="shared" si="15"/>
        <v>0.9879661016949155</v>
      </c>
      <c r="R33" s="29">
        <v>1.55</v>
      </c>
      <c r="S33" s="14">
        <f t="shared" si="0"/>
        <v>0.23644067796610169</v>
      </c>
      <c r="T33" s="14">
        <f t="shared" si="16"/>
        <v>1.3135593220338984</v>
      </c>
      <c r="U33" s="14">
        <f t="shared" si="1"/>
        <v>0.11440677966101695</v>
      </c>
      <c r="V33" s="32">
        <f t="shared" si="2"/>
        <v>0.32559322033898286</v>
      </c>
      <c r="W33" s="20">
        <f t="shared" si="3"/>
        <v>0.21006014215418248</v>
      </c>
      <c r="X33" s="30">
        <v>1.55</v>
      </c>
      <c r="Y33" s="19">
        <f t="shared" si="4"/>
        <v>0.23644067796610169</v>
      </c>
      <c r="Z33" s="14">
        <f t="shared" si="5"/>
        <v>1.3135593220338984</v>
      </c>
      <c r="AA33" s="30">
        <f t="shared" si="6"/>
        <v>6.2000000000000006E-2</v>
      </c>
      <c r="AB33" s="31">
        <f t="shared" si="7"/>
        <v>0.26359322033898286</v>
      </c>
      <c r="AC33" s="20">
        <f t="shared" si="8"/>
        <v>0.1700601421541825</v>
      </c>
    </row>
    <row r="34" spans="1:29">
      <c r="A34" s="13" t="s">
        <v>12</v>
      </c>
      <c r="B34" s="13" t="s">
        <v>13</v>
      </c>
      <c r="C34" s="13">
        <v>0.125</v>
      </c>
      <c r="D34" s="13" t="s">
        <v>226</v>
      </c>
      <c r="E34" s="13" t="s">
        <v>236</v>
      </c>
      <c r="F34" s="13">
        <v>1</v>
      </c>
      <c r="G34" s="13">
        <v>50</v>
      </c>
      <c r="H34" s="13">
        <v>0.32</v>
      </c>
      <c r="I34" s="25">
        <f t="shared" si="9"/>
        <v>0.27</v>
      </c>
      <c r="J34" s="14">
        <f t="shared" si="10"/>
        <v>4.1186440677966091E-2</v>
      </c>
      <c r="K34" s="13">
        <v>3.5</v>
      </c>
      <c r="L34" s="14">
        <v>0.15</v>
      </c>
      <c r="M34" s="25">
        <f t="shared" si="11"/>
        <v>0.53</v>
      </c>
      <c r="N34" s="14">
        <f t="shared" si="12"/>
        <v>8.0847457627118646E-2</v>
      </c>
      <c r="O34" s="24">
        <f t="shared" si="13"/>
        <v>0.31</v>
      </c>
      <c r="P34" s="28">
        <f t="shared" si="14"/>
        <v>1.1100000000000001</v>
      </c>
      <c r="Q34" s="14">
        <f t="shared" si="15"/>
        <v>0.9879661016949155</v>
      </c>
      <c r="R34" s="29">
        <v>1.8</v>
      </c>
      <c r="S34" s="14">
        <f t="shared" ref="S34:S59" si="17">R34-R34/1.18</f>
        <v>0.27457627118644057</v>
      </c>
      <c r="T34" s="14">
        <f t="shared" si="16"/>
        <v>1.5254237288135595</v>
      </c>
      <c r="U34" s="14">
        <f t="shared" ref="U34:U65" si="18">S34-N34-J34</f>
        <v>0.15254237288135583</v>
      </c>
      <c r="V34" s="32">
        <f t="shared" ref="V34:V61" si="19">T34-Q34</f>
        <v>0.53745762711864398</v>
      </c>
      <c r="W34" s="20">
        <f t="shared" ref="W34:W65" si="20">V34/R34</f>
        <v>0.29858757062146885</v>
      </c>
      <c r="X34" s="30">
        <v>1.55</v>
      </c>
      <c r="Y34" s="19">
        <f t="shared" ref="Y34:Y65" si="21">X34-Z34</f>
        <v>0.23644067796610169</v>
      </c>
      <c r="Z34" s="14">
        <f t="shared" ref="Z34:Z65" si="22">X34/1.18</f>
        <v>1.3135593220338984</v>
      </c>
      <c r="AA34" s="30">
        <f t="shared" ref="AA34:AA65" si="23">X34*4%</f>
        <v>6.2000000000000006E-2</v>
      </c>
      <c r="AB34" s="31">
        <f t="shared" ref="AB34:AB65" si="24">Z34-Q34-AA34</f>
        <v>0.26359322033898286</v>
      </c>
      <c r="AC34" s="20">
        <f t="shared" ref="AC34:AC65" si="25">AB34/X34</f>
        <v>0.1700601421541825</v>
      </c>
    </row>
    <row r="35" spans="1:29">
      <c r="A35" s="13" t="s">
        <v>16</v>
      </c>
      <c r="B35" s="13" t="s">
        <v>17</v>
      </c>
      <c r="C35" s="13">
        <v>0.125</v>
      </c>
      <c r="D35" s="13" t="s">
        <v>226</v>
      </c>
      <c r="E35" s="13" t="s">
        <v>236</v>
      </c>
      <c r="F35" s="13">
        <v>1</v>
      </c>
      <c r="G35" s="13">
        <v>50</v>
      </c>
      <c r="H35" s="13">
        <v>0.32</v>
      </c>
      <c r="I35" s="25">
        <f t="shared" si="9"/>
        <v>0.27</v>
      </c>
      <c r="J35" s="14">
        <f t="shared" si="10"/>
        <v>4.1186440677966091E-2</v>
      </c>
      <c r="K35" s="13">
        <v>3.5</v>
      </c>
      <c r="L35" s="14">
        <v>0.15</v>
      </c>
      <c r="M35" s="25">
        <f t="shared" si="11"/>
        <v>0.53</v>
      </c>
      <c r="N35" s="14">
        <f t="shared" si="12"/>
        <v>8.0847457627118646E-2</v>
      </c>
      <c r="O35" s="24">
        <f t="shared" si="13"/>
        <v>0.31</v>
      </c>
      <c r="P35" s="28">
        <f t="shared" si="14"/>
        <v>1.1100000000000001</v>
      </c>
      <c r="Q35" s="14">
        <f t="shared" si="15"/>
        <v>0.9879661016949155</v>
      </c>
      <c r="R35" s="29">
        <v>1.8</v>
      </c>
      <c r="S35" s="14">
        <f t="shared" si="17"/>
        <v>0.27457627118644057</v>
      </c>
      <c r="T35" s="14">
        <f t="shared" si="16"/>
        <v>1.5254237288135595</v>
      </c>
      <c r="U35" s="14">
        <f t="shared" si="18"/>
        <v>0.15254237288135583</v>
      </c>
      <c r="V35" s="32">
        <f t="shared" si="19"/>
        <v>0.53745762711864398</v>
      </c>
      <c r="W35" s="20">
        <f t="shared" si="20"/>
        <v>0.29858757062146885</v>
      </c>
      <c r="X35" s="30">
        <v>1.55</v>
      </c>
      <c r="Y35" s="19">
        <f t="shared" si="21"/>
        <v>0.23644067796610169</v>
      </c>
      <c r="Z35" s="14">
        <f t="shared" si="22"/>
        <v>1.3135593220338984</v>
      </c>
      <c r="AA35" s="30">
        <f t="shared" si="23"/>
        <v>6.2000000000000006E-2</v>
      </c>
      <c r="AB35" s="31">
        <f t="shared" si="24"/>
        <v>0.26359322033898286</v>
      </c>
      <c r="AC35" s="20">
        <f t="shared" si="25"/>
        <v>0.1700601421541825</v>
      </c>
    </row>
    <row r="36" spans="1:29">
      <c r="A36" s="13" t="s">
        <v>10</v>
      </c>
      <c r="B36" s="13" t="s">
        <v>11</v>
      </c>
      <c r="C36" s="13">
        <v>0.125</v>
      </c>
      <c r="D36" s="13" t="s">
        <v>226</v>
      </c>
      <c r="E36" s="13" t="s">
        <v>236</v>
      </c>
      <c r="F36" s="13">
        <v>1</v>
      </c>
      <c r="G36" s="13">
        <v>50</v>
      </c>
      <c r="H36" s="13">
        <v>0.32</v>
      </c>
      <c r="I36" s="25">
        <f t="shared" si="9"/>
        <v>0.27</v>
      </c>
      <c r="J36" s="14">
        <f t="shared" si="10"/>
        <v>4.1186440677966091E-2</v>
      </c>
      <c r="K36" s="13">
        <v>3.5</v>
      </c>
      <c r="L36" s="14">
        <v>0.15</v>
      </c>
      <c r="M36" s="25">
        <f t="shared" si="11"/>
        <v>0.53</v>
      </c>
      <c r="N36" s="14">
        <f t="shared" si="12"/>
        <v>8.0847457627118646E-2</v>
      </c>
      <c r="O36" s="24">
        <f t="shared" si="13"/>
        <v>0.31</v>
      </c>
      <c r="P36" s="28">
        <f t="shared" si="14"/>
        <v>1.1100000000000001</v>
      </c>
      <c r="Q36" s="14">
        <f t="shared" si="15"/>
        <v>0.9879661016949155</v>
      </c>
      <c r="R36" s="29">
        <v>1.8</v>
      </c>
      <c r="S36" s="14">
        <f t="shared" si="17"/>
        <v>0.27457627118644057</v>
      </c>
      <c r="T36" s="14">
        <f t="shared" si="16"/>
        <v>1.5254237288135595</v>
      </c>
      <c r="U36" s="14">
        <f t="shared" si="18"/>
        <v>0.15254237288135583</v>
      </c>
      <c r="V36" s="32">
        <f t="shared" si="19"/>
        <v>0.53745762711864398</v>
      </c>
      <c r="W36" s="20">
        <f t="shared" si="20"/>
        <v>0.29858757062146885</v>
      </c>
      <c r="X36" s="30">
        <v>1.55</v>
      </c>
      <c r="Y36" s="19">
        <f t="shared" si="21"/>
        <v>0.23644067796610169</v>
      </c>
      <c r="Z36" s="14">
        <f t="shared" si="22"/>
        <v>1.3135593220338984</v>
      </c>
      <c r="AA36" s="30">
        <f t="shared" si="23"/>
        <v>6.2000000000000006E-2</v>
      </c>
      <c r="AB36" s="31">
        <f t="shared" si="24"/>
        <v>0.26359322033898286</v>
      </c>
      <c r="AC36" s="20">
        <f t="shared" si="25"/>
        <v>0.1700601421541825</v>
      </c>
    </row>
    <row r="37" spans="1:29">
      <c r="A37" s="13" t="s">
        <v>130</v>
      </c>
      <c r="B37" s="13" t="s">
        <v>131</v>
      </c>
      <c r="C37" s="13">
        <v>0.32500000000000001</v>
      </c>
      <c r="D37" s="13" t="s">
        <v>226</v>
      </c>
      <c r="E37" s="13" t="s">
        <v>232</v>
      </c>
      <c r="F37" s="13">
        <v>1</v>
      </c>
      <c r="G37" s="13">
        <v>70</v>
      </c>
      <c r="H37" s="13">
        <v>0.32</v>
      </c>
      <c r="I37" s="25">
        <f t="shared" si="9"/>
        <v>0.37</v>
      </c>
      <c r="J37" s="14">
        <f t="shared" si="10"/>
        <v>5.6440677966101693E-2</v>
      </c>
      <c r="K37" s="13">
        <v>3.5</v>
      </c>
      <c r="L37" s="14">
        <v>0.39</v>
      </c>
      <c r="M37" s="25">
        <f t="shared" si="11"/>
        <v>1.37</v>
      </c>
      <c r="N37" s="14">
        <f t="shared" si="12"/>
        <v>0.2089830508474575</v>
      </c>
      <c r="O37" s="24">
        <f t="shared" si="13"/>
        <v>0.31</v>
      </c>
      <c r="P37" s="28">
        <f t="shared" si="14"/>
        <v>2.0499999999999998</v>
      </c>
      <c r="Q37" s="14">
        <f t="shared" si="15"/>
        <v>1.7845762711864406</v>
      </c>
      <c r="R37" s="29">
        <v>3</v>
      </c>
      <c r="S37" s="14">
        <f t="shared" si="17"/>
        <v>0.45762711864406747</v>
      </c>
      <c r="T37" s="14">
        <f t="shared" si="16"/>
        <v>2.5423728813559325</v>
      </c>
      <c r="U37" s="14">
        <f t="shared" si="18"/>
        <v>0.19220338983050828</v>
      </c>
      <c r="V37" s="32">
        <f t="shared" si="19"/>
        <v>0.75779661016949196</v>
      </c>
      <c r="W37" s="20">
        <f t="shared" si="20"/>
        <v>0.25259887005649734</v>
      </c>
      <c r="X37" s="30">
        <v>2.75</v>
      </c>
      <c r="Y37" s="19">
        <f t="shared" si="21"/>
        <v>0.41949152542372881</v>
      </c>
      <c r="Z37" s="14">
        <f t="shared" si="22"/>
        <v>2.3305084745762712</v>
      </c>
      <c r="AA37" s="30">
        <f t="shared" si="23"/>
        <v>0.11</v>
      </c>
      <c r="AB37" s="31">
        <f t="shared" si="24"/>
        <v>0.43593220338983063</v>
      </c>
      <c r="AC37" s="20">
        <f t="shared" si="25"/>
        <v>0.15852080123266568</v>
      </c>
    </row>
    <row r="38" spans="1:29">
      <c r="A38" s="13" t="s">
        <v>132</v>
      </c>
      <c r="B38" s="13" t="s">
        <v>133</v>
      </c>
      <c r="C38" s="13">
        <v>0.32500000000000001</v>
      </c>
      <c r="D38" s="13" t="s">
        <v>226</v>
      </c>
      <c r="E38" s="13" t="s">
        <v>232</v>
      </c>
      <c r="F38" s="13">
        <v>1</v>
      </c>
      <c r="G38" s="13">
        <v>70</v>
      </c>
      <c r="H38" s="13">
        <v>0.32</v>
      </c>
      <c r="I38" s="25">
        <f t="shared" si="9"/>
        <v>0.37</v>
      </c>
      <c r="J38" s="14">
        <f t="shared" si="10"/>
        <v>5.6440677966101693E-2</v>
      </c>
      <c r="K38" s="13">
        <v>3.5</v>
      </c>
      <c r="L38" s="14">
        <v>0.39</v>
      </c>
      <c r="M38" s="25">
        <f t="shared" si="11"/>
        <v>1.37</v>
      </c>
      <c r="N38" s="14">
        <f t="shared" si="12"/>
        <v>0.2089830508474575</v>
      </c>
      <c r="O38" s="24">
        <f t="shared" si="13"/>
        <v>0.31</v>
      </c>
      <c r="P38" s="28">
        <f t="shared" si="14"/>
        <v>2.0499999999999998</v>
      </c>
      <c r="Q38" s="14">
        <f t="shared" si="15"/>
        <v>1.7845762711864406</v>
      </c>
      <c r="R38" s="29">
        <v>3</v>
      </c>
      <c r="S38" s="14">
        <f t="shared" si="17"/>
        <v>0.45762711864406747</v>
      </c>
      <c r="T38" s="14">
        <f t="shared" si="16"/>
        <v>2.5423728813559325</v>
      </c>
      <c r="U38" s="14">
        <f t="shared" si="18"/>
        <v>0.19220338983050828</v>
      </c>
      <c r="V38" s="32">
        <f t="shared" si="19"/>
        <v>0.75779661016949196</v>
      </c>
      <c r="W38" s="20">
        <f t="shared" si="20"/>
        <v>0.25259887005649734</v>
      </c>
      <c r="X38" s="30">
        <v>2.75</v>
      </c>
      <c r="Y38" s="19">
        <f t="shared" si="21"/>
        <v>0.41949152542372881</v>
      </c>
      <c r="Z38" s="14">
        <f t="shared" si="22"/>
        <v>2.3305084745762712</v>
      </c>
      <c r="AA38" s="30">
        <f t="shared" si="23"/>
        <v>0.11</v>
      </c>
      <c r="AB38" s="31">
        <f t="shared" si="24"/>
        <v>0.43593220338983063</v>
      </c>
      <c r="AC38" s="20">
        <f t="shared" si="25"/>
        <v>0.15852080123266568</v>
      </c>
    </row>
    <row r="39" spans="1:29">
      <c r="A39" s="13" t="s">
        <v>128</v>
      </c>
      <c r="B39" s="13" t="s">
        <v>129</v>
      </c>
      <c r="C39" s="13">
        <v>0.32500000000000001</v>
      </c>
      <c r="D39" s="13" t="s">
        <v>226</v>
      </c>
      <c r="E39" s="13" t="s">
        <v>232</v>
      </c>
      <c r="F39" s="13">
        <v>1</v>
      </c>
      <c r="G39" s="13">
        <v>70</v>
      </c>
      <c r="H39" s="13">
        <v>0.32</v>
      </c>
      <c r="I39" s="25">
        <f t="shared" si="9"/>
        <v>0.37</v>
      </c>
      <c r="J39" s="14">
        <f t="shared" si="10"/>
        <v>5.6440677966101693E-2</v>
      </c>
      <c r="K39" s="13">
        <v>3.5</v>
      </c>
      <c r="L39" s="14">
        <v>0.39</v>
      </c>
      <c r="M39" s="25">
        <f t="shared" si="11"/>
        <v>1.37</v>
      </c>
      <c r="N39" s="14">
        <f t="shared" si="12"/>
        <v>0.2089830508474575</v>
      </c>
      <c r="O39" s="24">
        <f t="shared" si="13"/>
        <v>0.31</v>
      </c>
      <c r="P39" s="28">
        <f t="shared" si="14"/>
        <v>2.0499999999999998</v>
      </c>
      <c r="Q39" s="14">
        <f t="shared" si="15"/>
        <v>1.7845762711864406</v>
      </c>
      <c r="R39" s="29">
        <v>3</v>
      </c>
      <c r="S39" s="14">
        <f t="shared" si="17"/>
        <v>0.45762711864406747</v>
      </c>
      <c r="T39" s="14">
        <f t="shared" si="16"/>
        <v>2.5423728813559325</v>
      </c>
      <c r="U39" s="14">
        <f t="shared" si="18"/>
        <v>0.19220338983050828</v>
      </c>
      <c r="V39" s="32">
        <f t="shared" si="19"/>
        <v>0.75779661016949196</v>
      </c>
      <c r="W39" s="20">
        <f t="shared" si="20"/>
        <v>0.25259887005649734</v>
      </c>
      <c r="X39" s="30">
        <v>2.75</v>
      </c>
      <c r="Y39" s="19">
        <f t="shared" si="21"/>
        <v>0.41949152542372881</v>
      </c>
      <c r="Z39" s="14">
        <f t="shared" si="22"/>
        <v>2.3305084745762712</v>
      </c>
      <c r="AA39" s="30">
        <f t="shared" si="23"/>
        <v>0.11</v>
      </c>
      <c r="AB39" s="31">
        <f t="shared" si="24"/>
        <v>0.43593220338983063</v>
      </c>
      <c r="AC39" s="20">
        <f t="shared" si="25"/>
        <v>0.15852080123266568</v>
      </c>
    </row>
    <row r="40" spans="1:29">
      <c r="A40" s="13" t="s">
        <v>110</v>
      </c>
      <c r="B40" s="13" t="s">
        <v>111</v>
      </c>
      <c r="C40" s="13">
        <v>0.106</v>
      </c>
      <c r="D40" s="13" t="s">
        <v>226</v>
      </c>
      <c r="E40" s="13" t="s">
        <v>232</v>
      </c>
      <c r="F40" s="13">
        <v>1.3</v>
      </c>
      <c r="G40" s="13">
        <v>70</v>
      </c>
      <c r="H40" s="13">
        <v>0.32</v>
      </c>
      <c r="I40" s="25">
        <f t="shared" si="9"/>
        <v>0.49</v>
      </c>
      <c r="J40" s="14">
        <f t="shared" si="10"/>
        <v>7.4745762711864394E-2</v>
      </c>
      <c r="K40" s="13">
        <v>3.5</v>
      </c>
      <c r="L40" s="14">
        <v>0.13</v>
      </c>
      <c r="M40" s="25">
        <f t="shared" si="11"/>
        <v>0.46</v>
      </c>
      <c r="N40" s="14">
        <f t="shared" si="12"/>
        <v>7.0169491525423733E-2</v>
      </c>
      <c r="O40" s="24">
        <f t="shared" si="13"/>
        <v>0.41</v>
      </c>
      <c r="P40" s="28">
        <f t="shared" si="14"/>
        <v>1.36</v>
      </c>
      <c r="Q40" s="14">
        <f t="shared" si="15"/>
        <v>1.2150847457627121</v>
      </c>
      <c r="R40" s="29">
        <v>3.5</v>
      </c>
      <c r="S40" s="14">
        <f t="shared" si="17"/>
        <v>0.53389830508474567</v>
      </c>
      <c r="T40" s="14">
        <f t="shared" si="16"/>
        <v>2.9661016949152543</v>
      </c>
      <c r="U40" s="14">
        <f t="shared" si="18"/>
        <v>0.38898305084745755</v>
      </c>
      <c r="V40" s="32">
        <f t="shared" si="19"/>
        <v>1.7510169491525422</v>
      </c>
      <c r="W40" s="20">
        <f t="shared" si="20"/>
        <v>0.50029055690072632</v>
      </c>
      <c r="X40" s="30">
        <v>3</v>
      </c>
      <c r="Y40" s="19">
        <f t="shared" si="21"/>
        <v>0.45762711864406747</v>
      </c>
      <c r="Z40" s="14">
        <f t="shared" si="22"/>
        <v>2.5423728813559325</v>
      </c>
      <c r="AA40" s="30">
        <f t="shared" si="23"/>
        <v>0.12</v>
      </c>
      <c r="AB40" s="31">
        <f t="shared" si="24"/>
        <v>1.2072881355932203</v>
      </c>
      <c r="AC40" s="20">
        <f t="shared" si="25"/>
        <v>0.40242937853107347</v>
      </c>
    </row>
    <row r="41" spans="1:29">
      <c r="A41" s="13" t="s">
        <v>108</v>
      </c>
      <c r="B41" s="13" t="s">
        <v>109</v>
      </c>
      <c r="C41" s="13">
        <v>0.106</v>
      </c>
      <c r="D41" s="13" t="s">
        <v>226</v>
      </c>
      <c r="E41" s="13" t="s">
        <v>232</v>
      </c>
      <c r="F41" s="13">
        <v>1.3</v>
      </c>
      <c r="G41" s="13">
        <v>70</v>
      </c>
      <c r="H41" s="13">
        <v>0.32</v>
      </c>
      <c r="I41" s="25">
        <f t="shared" si="9"/>
        <v>0.49</v>
      </c>
      <c r="J41" s="14">
        <f t="shared" si="10"/>
        <v>7.4745762711864394E-2</v>
      </c>
      <c r="K41" s="13">
        <v>3.5</v>
      </c>
      <c r="L41" s="14">
        <v>0.13</v>
      </c>
      <c r="M41" s="25">
        <f t="shared" si="11"/>
        <v>0.46</v>
      </c>
      <c r="N41" s="14">
        <f t="shared" si="12"/>
        <v>7.0169491525423733E-2</v>
      </c>
      <c r="O41" s="24">
        <f t="shared" si="13"/>
        <v>0.41</v>
      </c>
      <c r="P41" s="28">
        <f t="shared" si="14"/>
        <v>1.36</v>
      </c>
      <c r="Q41" s="14">
        <f t="shared" si="15"/>
        <v>1.2150847457627121</v>
      </c>
      <c r="R41" s="29">
        <v>3.5</v>
      </c>
      <c r="S41" s="14">
        <f t="shared" si="17"/>
        <v>0.53389830508474567</v>
      </c>
      <c r="T41" s="14">
        <f t="shared" si="16"/>
        <v>2.9661016949152543</v>
      </c>
      <c r="U41" s="14">
        <f t="shared" si="18"/>
        <v>0.38898305084745755</v>
      </c>
      <c r="V41" s="32">
        <f t="shared" si="19"/>
        <v>1.7510169491525422</v>
      </c>
      <c r="W41" s="20">
        <f t="shared" si="20"/>
        <v>0.50029055690072632</v>
      </c>
      <c r="X41" s="30">
        <v>3</v>
      </c>
      <c r="Y41" s="19">
        <f t="shared" si="21"/>
        <v>0.45762711864406747</v>
      </c>
      <c r="Z41" s="14">
        <f t="shared" si="22"/>
        <v>2.5423728813559325</v>
      </c>
      <c r="AA41" s="30">
        <f t="shared" si="23"/>
        <v>0.12</v>
      </c>
      <c r="AB41" s="31">
        <f t="shared" si="24"/>
        <v>1.2072881355932203</v>
      </c>
      <c r="AC41" s="20">
        <f t="shared" si="25"/>
        <v>0.40242937853107347</v>
      </c>
    </row>
    <row r="42" spans="1:29">
      <c r="A42" s="13" t="s">
        <v>112</v>
      </c>
      <c r="B42" s="13" t="s">
        <v>113</v>
      </c>
      <c r="C42" s="13">
        <v>0.106</v>
      </c>
      <c r="D42" s="13" t="s">
        <v>226</v>
      </c>
      <c r="E42" s="13" t="s">
        <v>232</v>
      </c>
      <c r="F42" s="13">
        <v>1.3</v>
      </c>
      <c r="G42" s="13">
        <v>70</v>
      </c>
      <c r="H42" s="13">
        <v>0.32</v>
      </c>
      <c r="I42" s="25">
        <f t="shared" si="9"/>
        <v>0.49</v>
      </c>
      <c r="J42" s="14">
        <f t="shared" si="10"/>
        <v>7.4745762711864394E-2</v>
      </c>
      <c r="K42" s="13">
        <v>3.5</v>
      </c>
      <c r="L42" s="14">
        <v>0.13</v>
      </c>
      <c r="M42" s="25">
        <f t="shared" si="11"/>
        <v>0.46</v>
      </c>
      <c r="N42" s="14">
        <f t="shared" si="12"/>
        <v>7.0169491525423733E-2</v>
      </c>
      <c r="O42" s="24">
        <f t="shared" si="13"/>
        <v>0.41</v>
      </c>
      <c r="P42" s="28">
        <f t="shared" si="14"/>
        <v>1.36</v>
      </c>
      <c r="Q42" s="14">
        <f t="shared" si="15"/>
        <v>1.2150847457627121</v>
      </c>
      <c r="R42" s="29">
        <v>3.5</v>
      </c>
      <c r="S42" s="14">
        <f t="shared" si="17"/>
        <v>0.53389830508474567</v>
      </c>
      <c r="T42" s="14">
        <f t="shared" si="16"/>
        <v>2.9661016949152543</v>
      </c>
      <c r="U42" s="14">
        <f t="shared" si="18"/>
        <v>0.38898305084745755</v>
      </c>
      <c r="V42" s="32">
        <f t="shared" si="19"/>
        <v>1.7510169491525422</v>
      </c>
      <c r="W42" s="20">
        <f t="shared" si="20"/>
        <v>0.50029055690072632</v>
      </c>
      <c r="X42" s="30">
        <v>3</v>
      </c>
      <c r="Y42" s="19">
        <f t="shared" si="21"/>
        <v>0.45762711864406747</v>
      </c>
      <c r="Z42" s="14">
        <f t="shared" si="22"/>
        <v>2.5423728813559325</v>
      </c>
      <c r="AA42" s="30">
        <f t="shared" si="23"/>
        <v>0.12</v>
      </c>
      <c r="AB42" s="31">
        <f t="shared" si="24"/>
        <v>1.2072881355932203</v>
      </c>
      <c r="AC42" s="20">
        <f t="shared" si="25"/>
        <v>0.40242937853107347</v>
      </c>
    </row>
    <row r="43" spans="1:29">
      <c r="A43" s="13" t="s">
        <v>106</v>
      </c>
      <c r="B43" s="13" t="s">
        <v>107</v>
      </c>
      <c r="C43" s="13">
        <v>0.106</v>
      </c>
      <c r="D43" s="13" t="s">
        <v>226</v>
      </c>
      <c r="E43" s="13" t="s">
        <v>232</v>
      </c>
      <c r="F43" s="13">
        <v>1.3</v>
      </c>
      <c r="G43" s="13">
        <v>70</v>
      </c>
      <c r="H43" s="13">
        <v>0.32</v>
      </c>
      <c r="I43" s="25">
        <f t="shared" si="9"/>
        <v>0.49</v>
      </c>
      <c r="J43" s="14">
        <f t="shared" si="10"/>
        <v>7.4745762711864394E-2</v>
      </c>
      <c r="K43" s="13">
        <v>3.5</v>
      </c>
      <c r="L43" s="14">
        <v>0.13</v>
      </c>
      <c r="M43" s="25">
        <f t="shared" si="11"/>
        <v>0.46</v>
      </c>
      <c r="N43" s="14">
        <f t="shared" si="12"/>
        <v>7.0169491525423733E-2</v>
      </c>
      <c r="O43" s="24">
        <f t="shared" si="13"/>
        <v>0.41</v>
      </c>
      <c r="P43" s="28">
        <f t="shared" si="14"/>
        <v>1.36</v>
      </c>
      <c r="Q43" s="14">
        <f t="shared" si="15"/>
        <v>1.2150847457627121</v>
      </c>
      <c r="R43" s="29">
        <v>3.5</v>
      </c>
      <c r="S43" s="14">
        <f t="shared" si="17"/>
        <v>0.53389830508474567</v>
      </c>
      <c r="T43" s="14">
        <f t="shared" si="16"/>
        <v>2.9661016949152543</v>
      </c>
      <c r="U43" s="14">
        <f t="shared" si="18"/>
        <v>0.38898305084745755</v>
      </c>
      <c r="V43" s="32">
        <f t="shared" si="19"/>
        <v>1.7510169491525422</v>
      </c>
      <c r="W43" s="20">
        <f t="shared" si="20"/>
        <v>0.50029055690072632</v>
      </c>
      <c r="X43" s="30">
        <v>3</v>
      </c>
      <c r="Y43" s="19">
        <f t="shared" si="21"/>
        <v>0.45762711864406747</v>
      </c>
      <c r="Z43" s="14">
        <f t="shared" si="22"/>
        <v>2.5423728813559325</v>
      </c>
      <c r="AA43" s="30">
        <f t="shared" si="23"/>
        <v>0.12</v>
      </c>
      <c r="AB43" s="31">
        <f t="shared" si="24"/>
        <v>1.2072881355932203</v>
      </c>
      <c r="AC43" s="20">
        <f t="shared" si="25"/>
        <v>0.40242937853107347</v>
      </c>
    </row>
    <row r="44" spans="1:29">
      <c r="A44" s="13" t="s">
        <v>201</v>
      </c>
      <c r="B44" s="13" t="s">
        <v>202</v>
      </c>
      <c r="C44" s="13">
        <v>1.06</v>
      </c>
      <c r="D44" s="13" t="s">
        <v>237</v>
      </c>
      <c r="E44" s="13" t="s">
        <v>227</v>
      </c>
      <c r="F44" s="13">
        <v>1.8</v>
      </c>
      <c r="G44" s="13">
        <v>120</v>
      </c>
      <c r="H44" s="13">
        <v>0.32</v>
      </c>
      <c r="I44" s="25">
        <f t="shared" si="9"/>
        <v>1.1499999999999999</v>
      </c>
      <c r="J44" s="14">
        <f t="shared" si="10"/>
        <v>0.17542372881355928</v>
      </c>
      <c r="K44" s="13">
        <v>6.65</v>
      </c>
      <c r="L44" s="14">
        <v>1.27</v>
      </c>
      <c r="M44" s="25">
        <f>ROUND(L44*K44,2)</f>
        <v>8.4499999999999993</v>
      </c>
      <c r="N44" s="14">
        <f t="shared" si="12"/>
        <v>1.2889830508474569</v>
      </c>
      <c r="O44" s="24">
        <f t="shared" si="13"/>
        <v>0.56000000000000005</v>
      </c>
      <c r="P44" s="28">
        <f t="shared" si="14"/>
        <v>10.16</v>
      </c>
      <c r="Q44" s="14">
        <f t="shared" si="15"/>
        <v>8.695593220338985</v>
      </c>
      <c r="R44" s="29">
        <v>25</v>
      </c>
      <c r="S44" s="14">
        <f t="shared" si="17"/>
        <v>3.8135593220338961</v>
      </c>
      <c r="T44" s="14">
        <f t="shared" si="16"/>
        <v>21.186440677966104</v>
      </c>
      <c r="U44" s="14">
        <f t="shared" si="18"/>
        <v>2.3491525423728801</v>
      </c>
      <c r="V44" s="32">
        <f t="shared" si="19"/>
        <v>12.490847457627119</v>
      </c>
      <c r="W44" s="20">
        <f t="shared" si="20"/>
        <v>0.49963389830508476</v>
      </c>
      <c r="X44" s="30">
        <v>25</v>
      </c>
      <c r="Y44" s="19">
        <f t="shared" si="21"/>
        <v>3.8135593220338961</v>
      </c>
      <c r="Z44" s="14">
        <f t="shared" si="22"/>
        <v>21.186440677966104</v>
      </c>
      <c r="AA44" s="30">
        <f t="shared" si="23"/>
        <v>1</v>
      </c>
      <c r="AB44" s="31">
        <f t="shared" si="24"/>
        <v>11.490847457627119</v>
      </c>
      <c r="AC44" s="20">
        <f t="shared" si="25"/>
        <v>0.45963389830508478</v>
      </c>
    </row>
    <row r="45" spans="1:29">
      <c r="A45" s="13" t="s">
        <v>207</v>
      </c>
      <c r="B45" s="13" t="s">
        <v>208</v>
      </c>
      <c r="C45" s="13">
        <v>1.06</v>
      </c>
      <c r="D45" s="13" t="s">
        <v>237</v>
      </c>
      <c r="E45" s="13" t="s">
        <v>227</v>
      </c>
      <c r="F45" s="13">
        <v>1.8</v>
      </c>
      <c r="G45" s="13">
        <v>120</v>
      </c>
      <c r="H45" s="13">
        <v>0.32</v>
      </c>
      <c r="I45" s="25">
        <f t="shared" si="9"/>
        <v>1.1499999999999999</v>
      </c>
      <c r="J45" s="14">
        <f t="shared" si="10"/>
        <v>0.17542372881355928</v>
      </c>
      <c r="K45" s="13">
        <v>6.65</v>
      </c>
      <c r="L45" s="14">
        <v>1.27</v>
      </c>
      <c r="M45" s="25">
        <f t="shared" si="11"/>
        <v>8.4499999999999993</v>
      </c>
      <c r="N45" s="14">
        <f t="shared" si="12"/>
        <v>1.2889830508474569</v>
      </c>
      <c r="O45" s="24">
        <f t="shared" si="13"/>
        <v>0.56000000000000005</v>
      </c>
      <c r="P45" s="28">
        <f t="shared" si="14"/>
        <v>10.16</v>
      </c>
      <c r="Q45" s="14">
        <f t="shared" si="15"/>
        <v>8.695593220338985</v>
      </c>
      <c r="R45" s="29">
        <v>25</v>
      </c>
      <c r="S45" s="14">
        <f t="shared" si="17"/>
        <v>3.8135593220338961</v>
      </c>
      <c r="T45" s="14">
        <f t="shared" si="16"/>
        <v>21.186440677966104</v>
      </c>
      <c r="U45" s="14">
        <f t="shared" si="18"/>
        <v>2.3491525423728801</v>
      </c>
      <c r="V45" s="32">
        <f t="shared" si="19"/>
        <v>12.490847457627119</v>
      </c>
      <c r="W45" s="20">
        <f t="shared" si="20"/>
        <v>0.49963389830508476</v>
      </c>
      <c r="X45" s="30">
        <v>25</v>
      </c>
      <c r="Y45" s="19">
        <f t="shared" si="21"/>
        <v>3.8135593220338961</v>
      </c>
      <c r="Z45" s="14">
        <f t="shared" si="22"/>
        <v>21.186440677966104</v>
      </c>
      <c r="AA45" s="30">
        <f t="shared" si="23"/>
        <v>1</v>
      </c>
      <c r="AB45" s="31">
        <f t="shared" si="24"/>
        <v>11.490847457627119</v>
      </c>
      <c r="AC45" s="20">
        <f t="shared" si="25"/>
        <v>0.45963389830508478</v>
      </c>
    </row>
    <row r="46" spans="1:29">
      <c r="A46" s="13" t="s">
        <v>205</v>
      </c>
      <c r="B46" s="13" t="s">
        <v>206</v>
      </c>
      <c r="C46" s="13">
        <v>1.06</v>
      </c>
      <c r="D46" s="13" t="s">
        <v>237</v>
      </c>
      <c r="E46" s="13" t="s">
        <v>227</v>
      </c>
      <c r="F46" s="13">
        <v>1.8</v>
      </c>
      <c r="G46" s="13">
        <v>120</v>
      </c>
      <c r="H46" s="13">
        <v>0.32</v>
      </c>
      <c r="I46" s="25">
        <f t="shared" si="9"/>
        <v>1.1499999999999999</v>
      </c>
      <c r="J46" s="14">
        <f t="shared" si="10"/>
        <v>0.17542372881355928</v>
      </c>
      <c r="K46" s="13">
        <v>6.65</v>
      </c>
      <c r="L46" s="14">
        <v>1.27</v>
      </c>
      <c r="M46" s="25">
        <f t="shared" si="11"/>
        <v>8.4499999999999993</v>
      </c>
      <c r="N46" s="14">
        <f t="shared" si="12"/>
        <v>1.2889830508474569</v>
      </c>
      <c r="O46" s="24">
        <f t="shared" si="13"/>
        <v>0.56000000000000005</v>
      </c>
      <c r="P46" s="28">
        <f t="shared" si="14"/>
        <v>10.16</v>
      </c>
      <c r="Q46" s="14">
        <f t="shared" si="15"/>
        <v>8.695593220338985</v>
      </c>
      <c r="R46" s="29">
        <v>25</v>
      </c>
      <c r="S46" s="14">
        <f t="shared" si="17"/>
        <v>3.8135593220338961</v>
      </c>
      <c r="T46" s="14">
        <f t="shared" si="16"/>
        <v>21.186440677966104</v>
      </c>
      <c r="U46" s="14">
        <f t="shared" si="18"/>
        <v>2.3491525423728801</v>
      </c>
      <c r="V46" s="32">
        <f t="shared" si="19"/>
        <v>12.490847457627119</v>
      </c>
      <c r="W46" s="20">
        <f t="shared" si="20"/>
        <v>0.49963389830508476</v>
      </c>
      <c r="X46" s="30">
        <v>25</v>
      </c>
      <c r="Y46" s="19">
        <f t="shared" si="21"/>
        <v>3.8135593220338961</v>
      </c>
      <c r="Z46" s="14">
        <f t="shared" si="22"/>
        <v>21.186440677966104</v>
      </c>
      <c r="AA46" s="30">
        <f t="shared" si="23"/>
        <v>1</v>
      </c>
      <c r="AB46" s="31">
        <f t="shared" si="24"/>
        <v>11.490847457627119</v>
      </c>
      <c r="AC46" s="20">
        <f t="shared" si="25"/>
        <v>0.45963389830508478</v>
      </c>
    </row>
    <row r="47" spans="1:29">
      <c r="A47" s="13" t="s">
        <v>72</v>
      </c>
      <c r="B47" s="13" t="s">
        <v>73</v>
      </c>
      <c r="C47" s="13">
        <v>1.075</v>
      </c>
      <c r="D47" s="13" t="s">
        <v>229</v>
      </c>
      <c r="E47" s="13" t="s">
        <v>227</v>
      </c>
      <c r="F47" s="13">
        <v>1.8</v>
      </c>
      <c r="G47" s="13">
        <v>120</v>
      </c>
      <c r="H47" s="13">
        <v>0.32</v>
      </c>
      <c r="I47" s="25">
        <f>ROUND(F47*G47/60*H47,2)</f>
        <v>1.1499999999999999</v>
      </c>
      <c r="J47" s="14">
        <f t="shared" si="10"/>
        <v>0.17542372881355928</v>
      </c>
      <c r="K47" s="13">
        <v>3.5</v>
      </c>
      <c r="L47" s="14">
        <v>1.29</v>
      </c>
      <c r="M47" s="25">
        <f t="shared" si="11"/>
        <v>4.5199999999999996</v>
      </c>
      <c r="N47" s="14">
        <f t="shared" si="12"/>
        <v>0.68949152542372838</v>
      </c>
      <c r="O47" s="24">
        <f t="shared" si="13"/>
        <v>0.56000000000000005</v>
      </c>
      <c r="P47" s="28">
        <f t="shared" si="14"/>
        <v>6.23</v>
      </c>
      <c r="Q47" s="14">
        <f t="shared" si="15"/>
        <v>5.3650847457627133</v>
      </c>
      <c r="R47" s="29">
        <v>15</v>
      </c>
      <c r="S47" s="14">
        <f t="shared" si="17"/>
        <v>2.2881355932203391</v>
      </c>
      <c r="T47" s="14">
        <f t="shared" si="16"/>
        <v>12.711864406779661</v>
      </c>
      <c r="U47" s="14">
        <f t="shared" si="18"/>
        <v>1.4232203389830516</v>
      </c>
      <c r="V47" s="32">
        <f t="shared" si="19"/>
        <v>7.3467796610169476</v>
      </c>
      <c r="W47" s="20">
        <f t="shared" si="20"/>
        <v>0.48978531073446319</v>
      </c>
      <c r="X47" s="30">
        <v>13</v>
      </c>
      <c r="Y47" s="19">
        <f t="shared" si="21"/>
        <v>1.9830508474576263</v>
      </c>
      <c r="Z47" s="14">
        <f t="shared" si="22"/>
        <v>11.016949152542374</v>
      </c>
      <c r="AA47" s="30">
        <f t="shared" si="23"/>
        <v>0.52</v>
      </c>
      <c r="AB47" s="31">
        <f t="shared" si="24"/>
        <v>5.1318644067796608</v>
      </c>
      <c r="AC47" s="20">
        <f t="shared" si="25"/>
        <v>0.39475880052151235</v>
      </c>
    </row>
    <row r="48" spans="1:29">
      <c r="A48" s="13" t="s">
        <v>24</v>
      </c>
      <c r="B48" s="13" t="s">
        <v>25</v>
      </c>
      <c r="C48" s="13">
        <v>0.17</v>
      </c>
      <c r="D48" s="13" t="s">
        <v>226</v>
      </c>
      <c r="E48" s="13" t="s">
        <v>236</v>
      </c>
      <c r="F48" s="13">
        <v>1.3</v>
      </c>
      <c r="G48" s="13">
        <v>50</v>
      </c>
      <c r="H48" s="13">
        <v>0.32</v>
      </c>
      <c r="I48" s="25">
        <f t="shared" si="9"/>
        <v>0.35</v>
      </c>
      <c r="J48" s="14">
        <f t="shared" si="10"/>
        <v>5.3389830508474567E-2</v>
      </c>
      <c r="K48" s="13">
        <v>3.5</v>
      </c>
      <c r="L48" s="14">
        <v>0.2</v>
      </c>
      <c r="M48" s="25">
        <f t="shared" si="11"/>
        <v>0.7</v>
      </c>
      <c r="N48" s="14">
        <f t="shared" si="12"/>
        <v>0.10677966101694913</v>
      </c>
      <c r="O48" s="24">
        <f t="shared" si="13"/>
        <v>0.41</v>
      </c>
      <c r="P48" s="28">
        <f t="shared" si="14"/>
        <v>1.46</v>
      </c>
      <c r="Q48" s="14">
        <f t="shared" si="15"/>
        <v>1.2998305084745763</v>
      </c>
      <c r="R48" s="29">
        <v>2.2000000000000002</v>
      </c>
      <c r="S48" s="14">
        <f t="shared" si="17"/>
        <v>0.33559322033898309</v>
      </c>
      <c r="T48" s="14">
        <f t="shared" si="16"/>
        <v>1.8644067796610171</v>
      </c>
      <c r="U48" s="14">
        <f t="shared" si="18"/>
        <v>0.17542372881355939</v>
      </c>
      <c r="V48" s="32">
        <f t="shared" si="19"/>
        <v>0.56457627118644083</v>
      </c>
      <c r="W48" s="20">
        <f t="shared" si="20"/>
        <v>0.25662557781201856</v>
      </c>
      <c r="X48" s="30">
        <v>1.85</v>
      </c>
      <c r="Y48" s="19">
        <f t="shared" si="21"/>
        <v>0.2822033898305083</v>
      </c>
      <c r="Z48" s="14">
        <f t="shared" si="22"/>
        <v>1.5677966101694918</v>
      </c>
      <c r="AA48" s="30">
        <f t="shared" si="23"/>
        <v>7.400000000000001E-2</v>
      </c>
      <c r="AB48" s="31">
        <f t="shared" si="24"/>
        <v>0.19396610169491552</v>
      </c>
      <c r="AC48" s="20">
        <f t="shared" si="25"/>
        <v>0.10484654145671109</v>
      </c>
    </row>
    <row r="49" spans="1:29">
      <c r="A49" s="13" t="s">
        <v>20</v>
      </c>
      <c r="B49" s="13" t="s">
        <v>21</v>
      </c>
      <c r="C49" s="13">
        <v>0.85</v>
      </c>
      <c r="D49" s="13" t="s">
        <v>226</v>
      </c>
      <c r="E49" s="13" t="s">
        <v>227</v>
      </c>
      <c r="F49" s="13">
        <v>1.7</v>
      </c>
      <c r="G49" s="13">
        <v>120</v>
      </c>
      <c r="H49" s="13">
        <v>0.32</v>
      </c>
      <c r="I49" s="25">
        <f t="shared" si="9"/>
        <v>1.0900000000000001</v>
      </c>
      <c r="J49" s="14">
        <f t="shared" si="10"/>
        <v>0.16627118644067795</v>
      </c>
      <c r="K49" s="13">
        <v>3.5</v>
      </c>
      <c r="L49" s="14">
        <v>1.02</v>
      </c>
      <c r="M49" s="25">
        <f t="shared" si="11"/>
        <v>3.57</v>
      </c>
      <c r="N49" s="14">
        <f t="shared" si="12"/>
        <v>0.54457627118644059</v>
      </c>
      <c r="O49" s="24">
        <f t="shared" si="13"/>
        <v>0.53</v>
      </c>
      <c r="P49" s="28">
        <f t="shared" si="14"/>
        <v>5.19</v>
      </c>
      <c r="Q49" s="14">
        <f t="shared" si="15"/>
        <v>4.4791525423728817</v>
      </c>
      <c r="R49" s="29">
        <v>7.3</v>
      </c>
      <c r="S49" s="14">
        <f t="shared" si="17"/>
        <v>1.1135593220338977</v>
      </c>
      <c r="T49" s="14">
        <f t="shared" si="16"/>
        <v>6.1864406779661021</v>
      </c>
      <c r="U49" s="14">
        <f t="shared" si="18"/>
        <v>0.4027118644067792</v>
      </c>
      <c r="V49" s="32">
        <f t="shared" si="19"/>
        <v>1.7072881355932203</v>
      </c>
      <c r="W49" s="20">
        <f t="shared" si="20"/>
        <v>0.23387508706756444</v>
      </c>
      <c r="X49" s="19">
        <v>6.3</v>
      </c>
      <c r="Y49" s="19">
        <f t="shared" si="21"/>
        <v>0.96101694915254221</v>
      </c>
      <c r="Z49" s="14">
        <f t="shared" si="22"/>
        <v>5.3389830508474576</v>
      </c>
      <c r="AA49" s="30">
        <f t="shared" si="23"/>
        <v>0.252</v>
      </c>
      <c r="AB49" s="31">
        <f t="shared" si="24"/>
        <v>0.60783050847457587</v>
      </c>
      <c r="AC49" s="20">
        <f t="shared" si="25"/>
        <v>9.6481033091202525E-2</v>
      </c>
    </row>
    <row r="50" spans="1:29">
      <c r="A50" s="13" t="s">
        <v>118</v>
      </c>
      <c r="B50" s="13" t="s">
        <v>119</v>
      </c>
      <c r="C50" s="13">
        <v>0.45</v>
      </c>
      <c r="D50" s="13" t="s">
        <v>229</v>
      </c>
      <c r="E50" s="13" t="s">
        <v>232</v>
      </c>
      <c r="F50" s="13">
        <v>1.5</v>
      </c>
      <c r="G50" s="13">
        <v>70</v>
      </c>
      <c r="H50" s="13">
        <v>0.32</v>
      </c>
      <c r="I50" s="25">
        <f t="shared" si="9"/>
        <v>0.56000000000000005</v>
      </c>
      <c r="J50" s="14">
        <f t="shared" si="10"/>
        <v>8.5423728813559308E-2</v>
      </c>
      <c r="K50" s="13">
        <v>3.5</v>
      </c>
      <c r="L50" s="14">
        <v>0.54</v>
      </c>
      <c r="M50" s="25">
        <f t="shared" si="11"/>
        <v>1.89</v>
      </c>
      <c r="N50" s="14">
        <f t="shared" si="12"/>
        <v>0.28830508474576266</v>
      </c>
      <c r="O50" s="24">
        <f t="shared" si="13"/>
        <v>0.47</v>
      </c>
      <c r="P50" s="28">
        <f t="shared" si="14"/>
        <v>2.92</v>
      </c>
      <c r="Q50" s="14">
        <f t="shared" si="15"/>
        <v>2.546271186440678</v>
      </c>
      <c r="R50" s="29">
        <v>7.5</v>
      </c>
      <c r="S50" s="14">
        <f t="shared" si="17"/>
        <v>1.1440677966101696</v>
      </c>
      <c r="T50" s="14">
        <f t="shared" si="16"/>
        <v>6.3559322033898304</v>
      </c>
      <c r="U50" s="14">
        <f t="shared" si="18"/>
        <v>0.77033898305084758</v>
      </c>
      <c r="V50" s="32">
        <f t="shared" si="19"/>
        <v>3.8096610169491525</v>
      </c>
      <c r="W50" s="20">
        <f t="shared" si="20"/>
        <v>0.50795480225988698</v>
      </c>
      <c r="X50" s="30">
        <v>6.5</v>
      </c>
      <c r="Y50" s="19">
        <f t="shared" si="21"/>
        <v>0.99152542372881314</v>
      </c>
      <c r="Z50" s="14">
        <f t="shared" si="22"/>
        <v>5.5084745762711869</v>
      </c>
      <c r="AA50" s="30">
        <f t="shared" si="23"/>
        <v>0.26</v>
      </c>
      <c r="AB50" s="31">
        <f t="shared" si="24"/>
        <v>2.7022033898305091</v>
      </c>
      <c r="AC50" s="20">
        <f t="shared" si="25"/>
        <v>0.41572359843546292</v>
      </c>
    </row>
    <row r="51" spans="1:29">
      <c r="A51" s="13" t="s">
        <v>88</v>
      </c>
      <c r="B51" s="13" t="s">
        <v>89</v>
      </c>
      <c r="C51" s="13">
        <v>0.14000000000000001</v>
      </c>
      <c r="D51" s="13" t="s">
        <v>226</v>
      </c>
      <c r="E51" s="13" t="s">
        <v>238</v>
      </c>
      <c r="F51" s="13">
        <v>1.3</v>
      </c>
      <c r="G51" s="13">
        <v>60</v>
      </c>
      <c r="H51" s="13">
        <v>0.32</v>
      </c>
      <c r="I51" s="25">
        <f t="shared" si="9"/>
        <v>0.42</v>
      </c>
      <c r="J51" s="14">
        <f t="shared" si="10"/>
        <v>6.4067796610169481E-2</v>
      </c>
      <c r="K51" s="13">
        <v>3.5</v>
      </c>
      <c r="L51" s="14">
        <v>0.17</v>
      </c>
      <c r="M51" s="25">
        <f t="shared" si="11"/>
        <v>0.6</v>
      </c>
      <c r="N51" s="14">
        <f t="shared" si="12"/>
        <v>9.152542372881356E-2</v>
      </c>
      <c r="O51" s="24">
        <f t="shared" si="13"/>
        <v>0.41</v>
      </c>
      <c r="P51" s="28">
        <f t="shared" si="14"/>
        <v>1.43</v>
      </c>
      <c r="Q51" s="14">
        <f t="shared" si="15"/>
        <v>1.274406779661017</v>
      </c>
      <c r="R51" s="29">
        <v>2.8</v>
      </c>
      <c r="S51" s="14">
        <f t="shared" si="17"/>
        <v>0.42711864406779654</v>
      </c>
      <c r="T51" s="14">
        <f t="shared" si="16"/>
        <v>2.3728813559322033</v>
      </c>
      <c r="U51" s="14">
        <f t="shared" si="18"/>
        <v>0.2715254237288135</v>
      </c>
      <c r="V51" s="32">
        <f t="shared" si="19"/>
        <v>1.0984745762711863</v>
      </c>
      <c r="W51" s="20">
        <f t="shared" si="20"/>
        <v>0.39231234866828085</v>
      </c>
      <c r="X51" s="30">
        <v>2.4</v>
      </c>
      <c r="Y51" s="19">
        <f t="shared" si="21"/>
        <v>0.36610169491525424</v>
      </c>
      <c r="Z51" s="14">
        <f t="shared" si="22"/>
        <v>2.0338983050847457</v>
      </c>
      <c r="AA51" s="30">
        <f t="shared" si="23"/>
        <v>9.6000000000000002E-2</v>
      </c>
      <c r="AB51" s="31">
        <f t="shared" si="24"/>
        <v>0.66349152542372869</v>
      </c>
      <c r="AC51" s="20">
        <f t="shared" si="25"/>
        <v>0.27645480225988694</v>
      </c>
    </row>
    <row r="52" spans="1:29">
      <c r="A52" s="13" t="s">
        <v>86</v>
      </c>
      <c r="B52" s="13" t="s">
        <v>87</v>
      </c>
      <c r="C52" s="13">
        <v>0.14000000000000001</v>
      </c>
      <c r="D52" s="13" t="s">
        <v>226</v>
      </c>
      <c r="E52" s="13" t="s">
        <v>238</v>
      </c>
      <c r="F52" s="13">
        <v>1.3</v>
      </c>
      <c r="G52" s="13">
        <v>60</v>
      </c>
      <c r="H52" s="13">
        <v>0.32</v>
      </c>
      <c r="I52" s="25">
        <f t="shared" si="9"/>
        <v>0.42</v>
      </c>
      <c r="J52" s="14">
        <f t="shared" si="10"/>
        <v>6.4067796610169481E-2</v>
      </c>
      <c r="K52" s="13">
        <v>3.5</v>
      </c>
      <c r="L52" s="14">
        <v>0.17</v>
      </c>
      <c r="M52" s="25">
        <f t="shared" si="11"/>
        <v>0.6</v>
      </c>
      <c r="N52" s="14">
        <f t="shared" si="12"/>
        <v>9.152542372881356E-2</v>
      </c>
      <c r="O52" s="24">
        <f t="shared" si="13"/>
        <v>0.41</v>
      </c>
      <c r="P52" s="28">
        <f t="shared" si="14"/>
        <v>1.43</v>
      </c>
      <c r="Q52" s="14">
        <f t="shared" si="15"/>
        <v>1.274406779661017</v>
      </c>
      <c r="R52" s="29">
        <v>2.8</v>
      </c>
      <c r="S52" s="14">
        <f t="shared" si="17"/>
        <v>0.42711864406779654</v>
      </c>
      <c r="T52" s="14">
        <f t="shared" si="16"/>
        <v>2.3728813559322033</v>
      </c>
      <c r="U52" s="14">
        <f t="shared" si="18"/>
        <v>0.2715254237288135</v>
      </c>
      <c r="V52" s="32">
        <f t="shared" si="19"/>
        <v>1.0984745762711863</v>
      </c>
      <c r="W52" s="20">
        <f t="shared" si="20"/>
        <v>0.39231234866828085</v>
      </c>
      <c r="X52" s="30">
        <v>2.4</v>
      </c>
      <c r="Y52" s="19">
        <f t="shared" si="21"/>
        <v>0.36610169491525424</v>
      </c>
      <c r="Z52" s="14">
        <f t="shared" si="22"/>
        <v>2.0338983050847457</v>
      </c>
      <c r="AA52" s="30">
        <f t="shared" si="23"/>
        <v>9.6000000000000002E-2</v>
      </c>
      <c r="AB52" s="31">
        <f t="shared" si="24"/>
        <v>0.66349152542372869</v>
      </c>
      <c r="AC52" s="20">
        <f t="shared" si="25"/>
        <v>0.27645480225988694</v>
      </c>
    </row>
    <row r="53" spans="1:29">
      <c r="A53" s="13" t="s">
        <v>90</v>
      </c>
      <c r="B53" s="13" t="s">
        <v>91</v>
      </c>
      <c r="C53" s="13">
        <v>0.14000000000000001</v>
      </c>
      <c r="D53" s="13" t="s">
        <v>226</v>
      </c>
      <c r="E53" s="13" t="s">
        <v>238</v>
      </c>
      <c r="F53" s="13">
        <v>1.3</v>
      </c>
      <c r="G53" s="13">
        <v>60</v>
      </c>
      <c r="H53" s="13">
        <v>0.32</v>
      </c>
      <c r="I53" s="25">
        <f t="shared" si="9"/>
        <v>0.42</v>
      </c>
      <c r="J53" s="14">
        <f t="shared" si="10"/>
        <v>6.4067796610169481E-2</v>
      </c>
      <c r="K53" s="13">
        <v>3.5</v>
      </c>
      <c r="L53" s="14">
        <v>0.17</v>
      </c>
      <c r="M53" s="25">
        <f t="shared" si="11"/>
        <v>0.6</v>
      </c>
      <c r="N53" s="14">
        <f t="shared" si="12"/>
        <v>9.152542372881356E-2</v>
      </c>
      <c r="O53" s="24">
        <f t="shared" si="13"/>
        <v>0.41</v>
      </c>
      <c r="P53" s="28">
        <f t="shared" si="14"/>
        <v>1.43</v>
      </c>
      <c r="Q53" s="14">
        <f t="shared" si="15"/>
        <v>1.274406779661017</v>
      </c>
      <c r="R53" s="29">
        <v>2.8</v>
      </c>
      <c r="S53" s="14">
        <f t="shared" si="17"/>
        <v>0.42711864406779654</v>
      </c>
      <c r="T53" s="14">
        <f t="shared" si="16"/>
        <v>2.3728813559322033</v>
      </c>
      <c r="U53" s="14">
        <f t="shared" si="18"/>
        <v>0.2715254237288135</v>
      </c>
      <c r="V53" s="32">
        <f t="shared" si="19"/>
        <v>1.0984745762711863</v>
      </c>
      <c r="W53" s="20">
        <f t="shared" si="20"/>
        <v>0.39231234866828085</v>
      </c>
      <c r="X53" s="30">
        <v>2.4</v>
      </c>
      <c r="Y53" s="19">
        <f t="shared" si="21"/>
        <v>0.36610169491525424</v>
      </c>
      <c r="Z53" s="14">
        <f t="shared" si="22"/>
        <v>2.0338983050847457</v>
      </c>
      <c r="AA53" s="30">
        <f t="shared" si="23"/>
        <v>9.6000000000000002E-2</v>
      </c>
      <c r="AB53" s="31">
        <f t="shared" si="24"/>
        <v>0.66349152542372869</v>
      </c>
      <c r="AC53" s="20">
        <f t="shared" si="25"/>
        <v>0.27645480225988694</v>
      </c>
    </row>
    <row r="54" spans="1:29">
      <c r="A54" s="13" t="s">
        <v>84</v>
      </c>
      <c r="B54" s="13" t="s">
        <v>85</v>
      </c>
      <c r="C54" s="13">
        <v>0.14000000000000001</v>
      </c>
      <c r="D54" s="13" t="s">
        <v>226</v>
      </c>
      <c r="E54" s="13" t="s">
        <v>238</v>
      </c>
      <c r="F54" s="13">
        <v>1.3</v>
      </c>
      <c r="G54" s="13">
        <v>60</v>
      </c>
      <c r="H54" s="13">
        <v>0.32</v>
      </c>
      <c r="I54" s="25">
        <f t="shared" si="9"/>
        <v>0.42</v>
      </c>
      <c r="J54" s="14">
        <f t="shared" si="10"/>
        <v>6.4067796610169481E-2</v>
      </c>
      <c r="K54" s="13">
        <v>3.5</v>
      </c>
      <c r="L54" s="14">
        <v>0.17</v>
      </c>
      <c r="M54" s="25">
        <f t="shared" si="11"/>
        <v>0.6</v>
      </c>
      <c r="N54" s="14">
        <f t="shared" si="12"/>
        <v>9.152542372881356E-2</v>
      </c>
      <c r="O54" s="24">
        <f t="shared" si="13"/>
        <v>0.41</v>
      </c>
      <c r="P54" s="28">
        <f t="shared" si="14"/>
        <v>1.43</v>
      </c>
      <c r="Q54" s="14">
        <f t="shared" si="15"/>
        <v>1.274406779661017</v>
      </c>
      <c r="R54" s="29">
        <v>2.8</v>
      </c>
      <c r="S54" s="14">
        <f t="shared" si="17"/>
        <v>0.42711864406779654</v>
      </c>
      <c r="T54" s="14">
        <f t="shared" si="16"/>
        <v>2.3728813559322033</v>
      </c>
      <c r="U54" s="14">
        <f t="shared" si="18"/>
        <v>0.2715254237288135</v>
      </c>
      <c r="V54" s="32">
        <f t="shared" si="19"/>
        <v>1.0984745762711863</v>
      </c>
      <c r="W54" s="20">
        <f t="shared" si="20"/>
        <v>0.39231234866828085</v>
      </c>
      <c r="X54" s="30">
        <v>2.4</v>
      </c>
      <c r="Y54" s="19">
        <f t="shared" si="21"/>
        <v>0.36610169491525424</v>
      </c>
      <c r="Z54" s="14">
        <f t="shared" si="22"/>
        <v>2.0338983050847457</v>
      </c>
      <c r="AA54" s="30">
        <f t="shared" si="23"/>
        <v>9.6000000000000002E-2</v>
      </c>
      <c r="AB54" s="31">
        <f t="shared" si="24"/>
        <v>0.66349152542372869</v>
      </c>
      <c r="AC54" s="20">
        <f t="shared" si="25"/>
        <v>0.27645480225988694</v>
      </c>
    </row>
    <row r="55" spans="1:29">
      <c r="A55" s="13" t="s">
        <v>68</v>
      </c>
      <c r="B55" s="13" t="s">
        <v>69</v>
      </c>
      <c r="C55" s="13">
        <v>0.216</v>
      </c>
      <c r="D55" s="13" t="s">
        <v>226</v>
      </c>
      <c r="E55" s="13" t="s">
        <v>238</v>
      </c>
      <c r="F55" s="13">
        <v>1.3</v>
      </c>
      <c r="G55" s="13">
        <v>60</v>
      </c>
      <c r="H55" s="13">
        <v>0.32</v>
      </c>
      <c r="I55" s="25">
        <f t="shared" si="9"/>
        <v>0.42</v>
      </c>
      <c r="J55" s="14">
        <f t="shared" si="10"/>
        <v>6.4067796610169481E-2</v>
      </c>
      <c r="K55" s="13">
        <v>3.5</v>
      </c>
      <c r="L55" s="14">
        <v>0.26</v>
      </c>
      <c r="M55" s="25">
        <f t="shared" si="11"/>
        <v>0.91</v>
      </c>
      <c r="N55" s="14">
        <f t="shared" si="12"/>
        <v>0.13881355932203387</v>
      </c>
      <c r="O55" s="24">
        <f t="shared" si="13"/>
        <v>0.41</v>
      </c>
      <c r="P55" s="28">
        <f t="shared" si="14"/>
        <v>1.74</v>
      </c>
      <c r="Q55" s="14">
        <f t="shared" si="15"/>
        <v>1.5371186440677966</v>
      </c>
      <c r="R55" s="29">
        <v>3.1</v>
      </c>
      <c r="S55" s="14">
        <f t="shared" si="17"/>
        <v>0.47288135593220337</v>
      </c>
      <c r="T55" s="14">
        <f t="shared" si="16"/>
        <v>2.6271186440677967</v>
      </c>
      <c r="U55" s="14">
        <f t="shared" si="18"/>
        <v>0.27</v>
      </c>
      <c r="V55" s="32">
        <f t="shared" si="19"/>
        <v>1.0900000000000001</v>
      </c>
      <c r="W55" s="20">
        <f t="shared" si="20"/>
        <v>0.35161290322580646</v>
      </c>
      <c r="X55" s="30">
        <v>2.65</v>
      </c>
      <c r="Y55" s="19">
        <f t="shared" si="21"/>
        <v>0.4042372881355929</v>
      </c>
      <c r="Z55" s="14">
        <f t="shared" si="22"/>
        <v>2.245762711864407</v>
      </c>
      <c r="AA55" s="30">
        <f t="shared" si="23"/>
        <v>0.106</v>
      </c>
      <c r="AB55" s="31">
        <f t="shared" si="24"/>
        <v>0.60264406779661039</v>
      </c>
      <c r="AC55" s="20">
        <f t="shared" si="25"/>
        <v>0.22741285577230583</v>
      </c>
    </row>
    <row r="56" spans="1:29">
      <c r="A56" s="13" t="s">
        <v>70</v>
      </c>
      <c r="B56" s="13" t="s">
        <v>71</v>
      </c>
      <c r="C56" s="13">
        <v>0.216</v>
      </c>
      <c r="D56" s="13" t="s">
        <v>226</v>
      </c>
      <c r="E56" s="13" t="s">
        <v>238</v>
      </c>
      <c r="F56" s="13">
        <v>1.3</v>
      </c>
      <c r="G56" s="13">
        <v>60</v>
      </c>
      <c r="H56" s="13">
        <v>0.32</v>
      </c>
      <c r="I56" s="25">
        <f t="shared" si="9"/>
        <v>0.42</v>
      </c>
      <c r="J56" s="14">
        <f t="shared" si="10"/>
        <v>6.4067796610169481E-2</v>
      </c>
      <c r="K56" s="13">
        <v>3.5</v>
      </c>
      <c r="L56" s="14">
        <v>0.26</v>
      </c>
      <c r="M56" s="25">
        <f t="shared" si="11"/>
        <v>0.91</v>
      </c>
      <c r="N56" s="14">
        <f t="shared" si="12"/>
        <v>0.13881355932203387</v>
      </c>
      <c r="O56" s="24">
        <f t="shared" si="13"/>
        <v>0.41</v>
      </c>
      <c r="P56" s="28">
        <f t="shared" si="14"/>
        <v>1.74</v>
      </c>
      <c r="Q56" s="14">
        <f t="shared" si="15"/>
        <v>1.5371186440677966</v>
      </c>
      <c r="R56" s="29">
        <v>3.1</v>
      </c>
      <c r="S56" s="14">
        <f t="shared" si="17"/>
        <v>0.47288135593220337</v>
      </c>
      <c r="T56" s="14">
        <f t="shared" si="16"/>
        <v>2.6271186440677967</v>
      </c>
      <c r="U56" s="14">
        <f t="shared" si="18"/>
        <v>0.27</v>
      </c>
      <c r="V56" s="32">
        <f t="shared" si="19"/>
        <v>1.0900000000000001</v>
      </c>
      <c r="W56" s="20">
        <f t="shared" si="20"/>
        <v>0.35161290322580646</v>
      </c>
      <c r="X56" s="30">
        <v>2.65</v>
      </c>
      <c r="Y56" s="19">
        <f t="shared" si="21"/>
        <v>0.4042372881355929</v>
      </c>
      <c r="Z56" s="14">
        <f t="shared" si="22"/>
        <v>2.245762711864407</v>
      </c>
      <c r="AA56" s="30">
        <f t="shared" si="23"/>
        <v>0.106</v>
      </c>
      <c r="AB56" s="31">
        <f t="shared" si="24"/>
        <v>0.60264406779661039</v>
      </c>
      <c r="AC56" s="20">
        <f t="shared" si="25"/>
        <v>0.22741285577230583</v>
      </c>
    </row>
    <row r="57" spans="1:29">
      <c r="A57" s="13" t="s">
        <v>64</v>
      </c>
      <c r="B57" s="13" t="s">
        <v>65</v>
      </c>
      <c r="C57" s="13">
        <v>0.216</v>
      </c>
      <c r="D57" s="13" t="s">
        <v>226</v>
      </c>
      <c r="E57" s="13" t="s">
        <v>238</v>
      </c>
      <c r="F57" s="13">
        <v>1.3</v>
      </c>
      <c r="G57" s="13">
        <v>60</v>
      </c>
      <c r="H57" s="13">
        <v>0.32</v>
      </c>
      <c r="I57" s="25">
        <f t="shared" si="9"/>
        <v>0.42</v>
      </c>
      <c r="J57" s="14">
        <f t="shared" si="10"/>
        <v>6.4067796610169481E-2</v>
      </c>
      <c r="K57" s="13">
        <v>3.5</v>
      </c>
      <c r="L57" s="14">
        <v>0.26</v>
      </c>
      <c r="M57" s="25">
        <f t="shared" si="11"/>
        <v>0.91</v>
      </c>
      <c r="N57" s="14">
        <f t="shared" si="12"/>
        <v>0.13881355932203387</v>
      </c>
      <c r="O57" s="24">
        <f t="shared" si="13"/>
        <v>0.41</v>
      </c>
      <c r="P57" s="28">
        <f t="shared" si="14"/>
        <v>1.74</v>
      </c>
      <c r="Q57" s="14">
        <f t="shared" si="15"/>
        <v>1.5371186440677966</v>
      </c>
      <c r="R57" s="29">
        <v>3.1</v>
      </c>
      <c r="S57" s="14">
        <f t="shared" si="17"/>
        <v>0.47288135593220337</v>
      </c>
      <c r="T57" s="14">
        <f t="shared" si="16"/>
        <v>2.6271186440677967</v>
      </c>
      <c r="U57" s="14">
        <f t="shared" si="18"/>
        <v>0.27</v>
      </c>
      <c r="V57" s="32">
        <f t="shared" si="19"/>
        <v>1.0900000000000001</v>
      </c>
      <c r="W57" s="20">
        <f t="shared" si="20"/>
        <v>0.35161290322580646</v>
      </c>
      <c r="X57" s="30">
        <v>2.65</v>
      </c>
      <c r="Y57" s="19">
        <f t="shared" si="21"/>
        <v>0.4042372881355929</v>
      </c>
      <c r="Z57" s="14">
        <f t="shared" si="22"/>
        <v>2.245762711864407</v>
      </c>
      <c r="AA57" s="30">
        <f t="shared" si="23"/>
        <v>0.106</v>
      </c>
      <c r="AB57" s="31">
        <f t="shared" si="24"/>
        <v>0.60264406779661039</v>
      </c>
      <c r="AC57" s="20">
        <f t="shared" si="25"/>
        <v>0.22741285577230583</v>
      </c>
    </row>
    <row r="58" spans="1:29">
      <c r="A58" s="13" t="s">
        <v>66</v>
      </c>
      <c r="B58" s="13" t="s">
        <v>67</v>
      </c>
      <c r="C58" s="13">
        <v>0.216</v>
      </c>
      <c r="D58" s="13" t="s">
        <v>226</v>
      </c>
      <c r="E58" s="13" t="s">
        <v>238</v>
      </c>
      <c r="F58" s="13">
        <v>1.3</v>
      </c>
      <c r="G58" s="13">
        <v>60</v>
      </c>
      <c r="H58" s="13">
        <v>0.32</v>
      </c>
      <c r="I58" s="25">
        <f t="shared" si="9"/>
        <v>0.42</v>
      </c>
      <c r="J58" s="14">
        <f t="shared" si="10"/>
        <v>6.4067796610169481E-2</v>
      </c>
      <c r="K58" s="13">
        <v>3.5</v>
      </c>
      <c r="L58" s="14">
        <v>0.26</v>
      </c>
      <c r="M58" s="25">
        <f t="shared" si="11"/>
        <v>0.91</v>
      </c>
      <c r="N58" s="14">
        <f t="shared" si="12"/>
        <v>0.13881355932203387</v>
      </c>
      <c r="O58" s="24">
        <f t="shared" si="13"/>
        <v>0.41</v>
      </c>
      <c r="P58" s="28">
        <f t="shared" si="14"/>
        <v>1.74</v>
      </c>
      <c r="Q58" s="14">
        <f t="shared" si="15"/>
        <v>1.5371186440677966</v>
      </c>
      <c r="R58" s="29">
        <v>3.1</v>
      </c>
      <c r="S58" s="14">
        <f t="shared" si="17"/>
        <v>0.47288135593220337</v>
      </c>
      <c r="T58" s="14">
        <f t="shared" si="16"/>
        <v>2.6271186440677967</v>
      </c>
      <c r="U58" s="14">
        <f t="shared" si="18"/>
        <v>0.27</v>
      </c>
      <c r="V58" s="32">
        <f t="shared" si="19"/>
        <v>1.0900000000000001</v>
      </c>
      <c r="W58" s="20">
        <f t="shared" si="20"/>
        <v>0.35161290322580646</v>
      </c>
      <c r="X58" s="30">
        <v>2.65</v>
      </c>
      <c r="Y58" s="19">
        <f t="shared" si="21"/>
        <v>0.4042372881355929</v>
      </c>
      <c r="Z58" s="14">
        <f t="shared" si="22"/>
        <v>2.245762711864407</v>
      </c>
      <c r="AA58" s="30">
        <f t="shared" si="23"/>
        <v>0.106</v>
      </c>
      <c r="AB58" s="31">
        <f t="shared" si="24"/>
        <v>0.60264406779661039</v>
      </c>
      <c r="AC58" s="20">
        <f t="shared" si="25"/>
        <v>0.22741285577230583</v>
      </c>
    </row>
    <row r="59" spans="1:29">
      <c r="A59" s="13" t="s">
        <v>18</v>
      </c>
      <c r="B59" s="13" t="s">
        <v>19</v>
      </c>
      <c r="C59" s="13">
        <v>0.1</v>
      </c>
      <c r="D59" s="13" t="s">
        <v>226</v>
      </c>
      <c r="E59" s="13" t="s">
        <v>238</v>
      </c>
      <c r="F59" s="13">
        <v>1.3</v>
      </c>
      <c r="G59" s="13">
        <v>60</v>
      </c>
      <c r="H59" s="13">
        <v>0.32</v>
      </c>
      <c r="I59" s="25">
        <f t="shared" si="9"/>
        <v>0.42</v>
      </c>
      <c r="J59" s="14">
        <f t="shared" si="10"/>
        <v>6.4067796610169481E-2</v>
      </c>
      <c r="K59" s="13">
        <v>3.5</v>
      </c>
      <c r="L59" s="14">
        <v>0.12</v>
      </c>
      <c r="M59" s="25">
        <f t="shared" si="11"/>
        <v>0.42</v>
      </c>
      <c r="N59" s="14">
        <f t="shared" si="12"/>
        <v>6.4067796610169481E-2</v>
      </c>
      <c r="O59" s="24">
        <f t="shared" si="13"/>
        <v>0.41</v>
      </c>
      <c r="P59" s="28">
        <f t="shared" si="14"/>
        <v>1.25</v>
      </c>
      <c r="Q59" s="14">
        <f t="shared" si="15"/>
        <v>1.121864406779661</v>
      </c>
      <c r="R59" s="29">
        <v>1.7000000000000002</v>
      </c>
      <c r="S59" s="14">
        <f t="shared" si="17"/>
        <v>0.2593220338983051</v>
      </c>
      <c r="T59" s="14">
        <f t="shared" si="16"/>
        <v>1.4406779661016951</v>
      </c>
      <c r="U59" s="14">
        <f t="shared" si="18"/>
        <v>0.13118644067796614</v>
      </c>
      <c r="V59" s="32">
        <f t="shared" si="19"/>
        <v>0.31881355932203403</v>
      </c>
      <c r="W59" s="20">
        <f t="shared" si="20"/>
        <v>0.1875373878364906</v>
      </c>
      <c r="X59" s="19">
        <v>1.7</v>
      </c>
      <c r="Y59" s="19">
        <f t="shared" si="21"/>
        <v>0.2593220338983051</v>
      </c>
      <c r="Z59" s="14">
        <f t="shared" si="22"/>
        <v>1.4406779661016949</v>
      </c>
      <c r="AA59" s="30">
        <f t="shared" si="23"/>
        <v>6.8000000000000005E-2</v>
      </c>
      <c r="AB59" s="31">
        <f t="shared" si="24"/>
        <v>0.25081355932203381</v>
      </c>
      <c r="AC59" s="20">
        <f t="shared" si="25"/>
        <v>0.14753738783649048</v>
      </c>
    </row>
    <row r="60" spans="1:29">
      <c r="A60" s="13" t="s">
        <v>100</v>
      </c>
      <c r="B60" s="13" t="s">
        <v>101</v>
      </c>
      <c r="C60" s="13">
        <v>0.16500000000000001</v>
      </c>
      <c r="D60" s="13" t="s">
        <v>226</v>
      </c>
      <c r="E60" s="13" t="s">
        <v>236</v>
      </c>
      <c r="F60" s="13">
        <v>1.3</v>
      </c>
      <c r="G60" s="13">
        <v>50</v>
      </c>
      <c r="H60" s="13">
        <v>0.32</v>
      </c>
      <c r="I60" s="25">
        <f t="shared" si="9"/>
        <v>0.35</v>
      </c>
      <c r="J60" s="14">
        <f t="shared" si="10"/>
        <v>5.3389830508474567E-2</v>
      </c>
      <c r="K60" s="13">
        <v>3.5</v>
      </c>
      <c r="L60" s="14">
        <v>0.2</v>
      </c>
      <c r="M60" s="25">
        <f t="shared" si="11"/>
        <v>0.7</v>
      </c>
      <c r="N60" s="14">
        <f t="shared" si="12"/>
        <v>0.10677966101694913</v>
      </c>
      <c r="O60" s="24">
        <f t="shared" si="13"/>
        <v>0.41</v>
      </c>
      <c r="P60" s="28">
        <f t="shared" si="14"/>
        <v>1.46</v>
      </c>
      <c r="Q60" s="14">
        <f t="shared" si="15"/>
        <v>1.2998305084745763</v>
      </c>
      <c r="R60" s="29">
        <v>1.9500000000000002</v>
      </c>
      <c r="S60" s="14">
        <f t="shared" ref="S60:S91" si="26">R60-R60/1.18</f>
        <v>0.29745762711864399</v>
      </c>
      <c r="T60" s="14">
        <f t="shared" si="16"/>
        <v>1.6525423728813562</v>
      </c>
      <c r="U60" s="14">
        <f t="shared" si="18"/>
        <v>0.13728813559322028</v>
      </c>
      <c r="V60" s="32">
        <f t="shared" si="19"/>
        <v>0.35271186440677993</v>
      </c>
      <c r="W60" s="20">
        <f t="shared" si="20"/>
        <v>0.18087787918296405</v>
      </c>
      <c r="X60" s="19">
        <v>1.85</v>
      </c>
      <c r="Y60" s="19">
        <f t="shared" si="21"/>
        <v>0.2822033898305083</v>
      </c>
      <c r="Z60" s="14">
        <f t="shared" si="22"/>
        <v>1.5677966101694918</v>
      </c>
      <c r="AA60" s="30">
        <f t="shared" si="23"/>
        <v>7.400000000000001E-2</v>
      </c>
      <c r="AB60" s="31">
        <f t="shared" si="24"/>
        <v>0.19396610169491552</v>
      </c>
      <c r="AC60" s="20">
        <f t="shared" si="25"/>
        <v>0.10484654145671109</v>
      </c>
    </row>
    <row r="61" spans="1:29">
      <c r="A61" s="13" t="s">
        <v>8</v>
      </c>
      <c r="B61" s="13" t="s">
        <v>9</v>
      </c>
      <c r="C61" s="13">
        <v>0.16500000000000001</v>
      </c>
      <c r="D61" s="13" t="s">
        <v>226</v>
      </c>
      <c r="E61" s="13" t="s">
        <v>236</v>
      </c>
      <c r="F61" s="13">
        <v>1.3</v>
      </c>
      <c r="G61" s="13">
        <v>50</v>
      </c>
      <c r="H61" s="13">
        <v>0.32</v>
      </c>
      <c r="I61" s="25">
        <f t="shared" si="9"/>
        <v>0.35</v>
      </c>
      <c r="J61" s="14">
        <f t="shared" si="10"/>
        <v>5.3389830508474567E-2</v>
      </c>
      <c r="K61" s="13">
        <v>3.5</v>
      </c>
      <c r="L61" s="14">
        <v>0.2</v>
      </c>
      <c r="M61" s="25">
        <f t="shared" si="11"/>
        <v>0.7</v>
      </c>
      <c r="N61" s="14">
        <f t="shared" si="12"/>
        <v>0.10677966101694913</v>
      </c>
      <c r="O61" s="24">
        <f t="shared" si="13"/>
        <v>0.41</v>
      </c>
      <c r="P61" s="28">
        <f t="shared" si="14"/>
        <v>1.46</v>
      </c>
      <c r="Q61" s="14">
        <f t="shared" si="15"/>
        <v>1.2998305084745763</v>
      </c>
      <c r="R61" s="29">
        <v>1.9500000000000002</v>
      </c>
      <c r="S61" s="14">
        <f t="shared" si="26"/>
        <v>0.29745762711864399</v>
      </c>
      <c r="T61" s="14">
        <f t="shared" si="16"/>
        <v>1.6525423728813562</v>
      </c>
      <c r="U61" s="14">
        <f t="shared" si="18"/>
        <v>0.13728813559322028</v>
      </c>
      <c r="V61" s="32">
        <f t="shared" si="19"/>
        <v>0.35271186440677993</v>
      </c>
      <c r="W61" s="20">
        <f t="shared" si="20"/>
        <v>0.18087787918296405</v>
      </c>
      <c r="X61" s="19">
        <v>1.85</v>
      </c>
      <c r="Y61" s="19">
        <f t="shared" si="21"/>
        <v>0.2822033898305083</v>
      </c>
      <c r="Z61" s="14">
        <f t="shared" si="22"/>
        <v>1.5677966101694918</v>
      </c>
      <c r="AA61" s="30">
        <f t="shared" si="23"/>
        <v>7.400000000000001E-2</v>
      </c>
      <c r="AB61" s="31">
        <f t="shared" si="24"/>
        <v>0.19396610169491552</v>
      </c>
      <c r="AC61" s="20">
        <f t="shared" si="25"/>
        <v>0.10484654145671109</v>
      </c>
    </row>
    <row r="62" spans="1:29">
      <c r="A62" s="13" t="s">
        <v>102</v>
      </c>
      <c r="B62" s="13" t="s">
        <v>103</v>
      </c>
      <c r="C62" s="13">
        <v>0.16500000000000001</v>
      </c>
      <c r="D62" s="13" t="s">
        <v>226</v>
      </c>
      <c r="E62" s="13" t="s">
        <v>236</v>
      </c>
      <c r="F62" s="13">
        <v>1.3</v>
      </c>
      <c r="G62" s="13">
        <v>50</v>
      </c>
      <c r="H62" s="13">
        <v>0.32</v>
      </c>
      <c r="I62" s="25">
        <f t="shared" ref="I62:I101" si="27">ROUND(F62*G62/60*H62,2)</f>
        <v>0.35</v>
      </c>
      <c r="J62" s="14">
        <f t="shared" ref="J62:J101" si="28">I62-I62/1.18</f>
        <v>5.3389830508474567E-2</v>
      </c>
      <c r="K62" s="13">
        <v>3.5</v>
      </c>
      <c r="L62" s="14">
        <v>0.2</v>
      </c>
      <c r="M62" s="25">
        <f t="shared" ref="M62:M101" si="29">ROUND(L62*K62,2)</f>
        <v>0.7</v>
      </c>
      <c r="N62" s="14">
        <f t="shared" ref="N62:N101" si="30">M62-M62/1.18</f>
        <v>0.10677966101694913</v>
      </c>
      <c r="O62" s="24">
        <f t="shared" ref="O62:O101" si="31">ROUND(150/8/60*F62,2)</f>
        <v>0.41</v>
      </c>
      <c r="P62" s="28">
        <f t="shared" ref="P62:P101" si="32">ROUND(O62+M62+I62,2)</f>
        <v>1.46</v>
      </c>
      <c r="Q62" s="14">
        <f t="shared" ref="Q62:Q101" si="33">P62-N62-J62</f>
        <v>1.2998305084745763</v>
      </c>
      <c r="R62" s="29">
        <v>1.9500000000000002</v>
      </c>
      <c r="S62" s="14">
        <f t="shared" si="26"/>
        <v>0.29745762711864399</v>
      </c>
      <c r="T62" s="14">
        <f t="shared" ref="T62:T101" si="34">R62-S62</f>
        <v>1.6525423728813562</v>
      </c>
      <c r="U62" s="14">
        <f t="shared" si="18"/>
        <v>0.13728813559322028</v>
      </c>
      <c r="V62" s="32">
        <f t="shared" ref="V62:V101" si="35">T62-Q62</f>
        <v>0.35271186440677993</v>
      </c>
      <c r="W62" s="20">
        <f t="shared" si="20"/>
        <v>0.18087787918296405</v>
      </c>
      <c r="X62" s="19">
        <v>1.85</v>
      </c>
      <c r="Y62" s="19">
        <f t="shared" si="21"/>
        <v>0.2822033898305083</v>
      </c>
      <c r="Z62" s="14">
        <f t="shared" si="22"/>
        <v>1.5677966101694918</v>
      </c>
      <c r="AA62" s="30">
        <f t="shared" si="23"/>
        <v>7.400000000000001E-2</v>
      </c>
      <c r="AB62" s="31">
        <f t="shared" si="24"/>
        <v>0.19396610169491552</v>
      </c>
      <c r="AC62" s="20">
        <f t="shared" si="25"/>
        <v>0.10484654145671109</v>
      </c>
    </row>
    <row r="63" spans="1:29">
      <c r="A63" s="13" t="s">
        <v>104</v>
      </c>
      <c r="B63" s="13" t="s">
        <v>105</v>
      </c>
      <c r="C63" s="13">
        <v>0.16500000000000001</v>
      </c>
      <c r="D63" s="13" t="s">
        <v>226</v>
      </c>
      <c r="E63" s="13" t="s">
        <v>236</v>
      </c>
      <c r="F63" s="13">
        <v>1.3</v>
      </c>
      <c r="G63" s="13">
        <v>50</v>
      </c>
      <c r="H63" s="13">
        <v>0.32</v>
      </c>
      <c r="I63" s="25">
        <f t="shared" si="27"/>
        <v>0.35</v>
      </c>
      <c r="J63" s="14">
        <f t="shared" si="28"/>
        <v>5.3389830508474567E-2</v>
      </c>
      <c r="K63" s="13">
        <v>3.5</v>
      </c>
      <c r="L63" s="14">
        <v>0.2</v>
      </c>
      <c r="M63" s="25">
        <f t="shared" si="29"/>
        <v>0.7</v>
      </c>
      <c r="N63" s="14">
        <f t="shared" si="30"/>
        <v>0.10677966101694913</v>
      </c>
      <c r="O63" s="24">
        <f t="shared" si="31"/>
        <v>0.41</v>
      </c>
      <c r="P63" s="28">
        <f t="shared" si="32"/>
        <v>1.46</v>
      </c>
      <c r="Q63" s="14">
        <f t="shared" si="33"/>
        <v>1.2998305084745763</v>
      </c>
      <c r="R63" s="29">
        <v>1.9500000000000002</v>
      </c>
      <c r="S63" s="14">
        <f t="shared" si="26"/>
        <v>0.29745762711864399</v>
      </c>
      <c r="T63" s="14">
        <f t="shared" si="34"/>
        <v>1.6525423728813562</v>
      </c>
      <c r="U63" s="14">
        <f t="shared" si="18"/>
        <v>0.13728813559322028</v>
      </c>
      <c r="V63" s="32">
        <f t="shared" si="35"/>
        <v>0.35271186440677993</v>
      </c>
      <c r="W63" s="20">
        <f t="shared" si="20"/>
        <v>0.18087787918296405</v>
      </c>
      <c r="X63" s="19">
        <v>1.85</v>
      </c>
      <c r="Y63" s="19">
        <f t="shared" si="21"/>
        <v>0.2822033898305083</v>
      </c>
      <c r="Z63" s="14">
        <f t="shared" si="22"/>
        <v>1.5677966101694918</v>
      </c>
      <c r="AA63" s="30">
        <f t="shared" si="23"/>
        <v>7.400000000000001E-2</v>
      </c>
      <c r="AB63" s="31">
        <f t="shared" si="24"/>
        <v>0.19396610169491552</v>
      </c>
      <c r="AC63" s="20">
        <f t="shared" si="25"/>
        <v>0.10484654145671109</v>
      </c>
    </row>
    <row r="64" spans="1:29">
      <c r="A64" s="13" t="s">
        <v>6</v>
      </c>
      <c r="B64" s="13" t="s">
        <v>7</v>
      </c>
      <c r="C64" s="13">
        <v>2.1</v>
      </c>
      <c r="D64" s="13" t="s">
        <v>239</v>
      </c>
      <c r="E64" s="13" t="s">
        <v>230</v>
      </c>
      <c r="F64" s="13">
        <v>2.5</v>
      </c>
      <c r="G64" s="13">
        <v>180</v>
      </c>
      <c r="H64" s="13">
        <v>0.32</v>
      </c>
      <c r="I64" s="25">
        <f t="shared" si="27"/>
        <v>2.4</v>
      </c>
      <c r="J64" s="14">
        <f t="shared" si="28"/>
        <v>0.36610169491525424</v>
      </c>
      <c r="K64" s="13">
        <v>6.65</v>
      </c>
      <c r="L64" s="14">
        <v>3.2</v>
      </c>
      <c r="M64" s="25">
        <f t="shared" si="29"/>
        <v>21.28</v>
      </c>
      <c r="N64" s="14">
        <f t="shared" si="30"/>
        <v>3.2461016949152537</v>
      </c>
      <c r="O64" s="24">
        <f t="shared" si="31"/>
        <v>0.78</v>
      </c>
      <c r="P64" s="28">
        <f t="shared" si="32"/>
        <v>24.46</v>
      </c>
      <c r="Q64" s="14">
        <f t="shared" si="33"/>
        <v>20.847796610169492</v>
      </c>
      <c r="R64" s="29">
        <v>45</v>
      </c>
      <c r="S64" s="14">
        <f t="shared" si="26"/>
        <v>6.8644067796610173</v>
      </c>
      <c r="T64" s="14">
        <f t="shared" si="34"/>
        <v>38.135593220338983</v>
      </c>
      <c r="U64" s="14">
        <f t="shared" si="18"/>
        <v>3.2522033898305094</v>
      </c>
      <c r="V64" s="32">
        <f t="shared" si="35"/>
        <v>17.28779661016949</v>
      </c>
      <c r="W64" s="20">
        <f t="shared" si="20"/>
        <v>0.38417325800376645</v>
      </c>
      <c r="X64" s="30">
        <v>40</v>
      </c>
      <c r="Y64" s="19">
        <f t="shared" si="21"/>
        <v>6.1016949152542352</v>
      </c>
      <c r="Z64" s="14">
        <f t="shared" si="22"/>
        <v>33.898305084745765</v>
      </c>
      <c r="AA64" s="30">
        <f t="shared" si="23"/>
        <v>1.6</v>
      </c>
      <c r="AB64" s="31">
        <f t="shared" si="24"/>
        <v>11.450508474576273</v>
      </c>
      <c r="AC64" s="20">
        <f t="shared" si="25"/>
        <v>0.28626271186440683</v>
      </c>
    </row>
    <row r="65" spans="1:29">
      <c r="A65" s="13" t="s">
        <v>179</v>
      </c>
      <c r="B65" s="13" t="s">
        <v>180</v>
      </c>
      <c r="C65" s="13">
        <v>2.54</v>
      </c>
      <c r="D65" s="13" t="s">
        <v>240</v>
      </c>
      <c r="E65" s="13" t="s">
        <v>241</v>
      </c>
      <c r="F65" s="13">
        <v>3</v>
      </c>
      <c r="G65" s="13">
        <v>180</v>
      </c>
      <c r="H65" s="13">
        <v>0.32</v>
      </c>
      <c r="I65" s="25">
        <f t="shared" si="27"/>
        <v>2.88</v>
      </c>
      <c r="J65" s="14">
        <f t="shared" si="28"/>
        <v>0.43932203389830482</v>
      </c>
      <c r="K65" s="13">
        <v>6.65</v>
      </c>
      <c r="L65" s="14">
        <v>3.05</v>
      </c>
      <c r="M65" s="25">
        <f t="shared" si="29"/>
        <v>20.28</v>
      </c>
      <c r="N65" s="14">
        <f t="shared" si="30"/>
        <v>3.0935593220338973</v>
      </c>
      <c r="O65" s="24">
        <f t="shared" si="31"/>
        <v>0.94</v>
      </c>
      <c r="P65" s="28">
        <f t="shared" si="32"/>
        <v>24.1</v>
      </c>
      <c r="Q65" s="14">
        <f t="shared" si="33"/>
        <v>20.567118644067801</v>
      </c>
      <c r="R65" s="29">
        <v>35</v>
      </c>
      <c r="S65" s="14">
        <f t="shared" si="26"/>
        <v>5.3389830508474567</v>
      </c>
      <c r="T65" s="14">
        <f t="shared" si="34"/>
        <v>29.661016949152543</v>
      </c>
      <c r="U65" s="14">
        <f t="shared" si="18"/>
        <v>1.8061016949152546</v>
      </c>
      <c r="V65" s="32">
        <f t="shared" si="35"/>
        <v>9.0938983050847426</v>
      </c>
      <c r="W65" s="20">
        <f t="shared" si="20"/>
        <v>0.25982566585956407</v>
      </c>
      <c r="X65" s="30">
        <v>35</v>
      </c>
      <c r="Y65" s="19">
        <f t="shared" si="21"/>
        <v>5.3389830508474567</v>
      </c>
      <c r="Z65" s="14">
        <f t="shared" si="22"/>
        <v>29.661016949152543</v>
      </c>
      <c r="AA65" s="30">
        <f t="shared" si="23"/>
        <v>1.4000000000000001</v>
      </c>
      <c r="AB65" s="31">
        <f t="shared" si="24"/>
        <v>7.6938983050847423</v>
      </c>
      <c r="AC65" s="20">
        <f t="shared" si="25"/>
        <v>0.21982566585956406</v>
      </c>
    </row>
    <row r="66" spans="1:29">
      <c r="A66" s="13" t="s">
        <v>193</v>
      </c>
      <c r="B66" s="13" t="s">
        <v>194</v>
      </c>
      <c r="C66" s="13">
        <v>2.54</v>
      </c>
      <c r="D66" s="13" t="s">
        <v>240</v>
      </c>
      <c r="E66" s="13" t="s">
        <v>241</v>
      </c>
      <c r="F66" s="13">
        <v>3</v>
      </c>
      <c r="G66" s="13">
        <v>180</v>
      </c>
      <c r="H66" s="13">
        <v>0.32</v>
      </c>
      <c r="I66" s="25">
        <f t="shared" si="27"/>
        <v>2.88</v>
      </c>
      <c r="J66" s="14">
        <f t="shared" si="28"/>
        <v>0.43932203389830482</v>
      </c>
      <c r="K66" s="13">
        <v>6.65</v>
      </c>
      <c r="L66" s="14">
        <v>3.05</v>
      </c>
      <c r="M66" s="25">
        <f t="shared" si="29"/>
        <v>20.28</v>
      </c>
      <c r="N66" s="14">
        <f t="shared" si="30"/>
        <v>3.0935593220338973</v>
      </c>
      <c r="O66" s="24">
        <f t="shared" si="31"/>
        <v>0.94</v>
      </c>
      <c r="P66" s="28">
        <f t="shared" si="32"/>
        <v>24.1</v>
      </c>
      <c r="Q66" s="14">
        <f t="shared" si="33"/>
        <v>20.567118644067801</v>
      </c>
      <c r="R66" s="29">
        <v>35</v>
      </c>
      <c r="S66" s="14">
        <f t="shared" si="26"/>
        <v>5.3389830508474567</v>
      </c>
      <c r="T66" s="14">
        <f t="shared" si="34"/>
        <v>29.661016949152543</v>
      </c>
      <c r="U66" s="14">
        <f t="shared" ref="U66:U101" si="36">S66-N66-J66</f>
        <v>1.8061016949152546</v>
      </c>
      <c r="V66" s="32">
        <f t="shared" si="35"/>
        <v>9.0938983050847426</v>
      </c>
      <c r="W66" s="20">
        <f t="shared" ref="W66:W97" si="37">V66/R66</f>
        <v>0.25982566585956407</v>
      </c>
      <c r="X66" s="30">
        <v>35</v>
      </c>
      <c r="Y66" s="19">
        <f t="shared" ref="Y66:Y97" si="38">X66-Z66</f>
        <v>5.3389830508474567</v>
      </c>
      <c r="Z66" s="14">
        <f t="shared" ref="Z66:Z101" si="39">X66/1.18</f>
        <v>29.661016949152543</v>
      </c>
      <c r="AA66" s="30">
        <f t="shared" ref="AA66:AA101" si="40">X66*4%</f>
        <v>1.4000000000000001</v>
      </c>
      <c r="AB66" s="31">
        <f t="shared" ref="AB66:AB97" si="41">Z66-Q66-AA66</f>
        <v>7.6938983050847423</v>
      </c>
      <c r="AC66" s="20">
        <f t="shared" ref="AC66:AC97" si="42">AB66/X66</f>
        <v>0.21982566585956406</v>
      </c>
    </row>
    <row r="67" spans="1:29">
      <c r="A67" s="13" t="s">
        <v>189</v>
      </c>
      <c r="B67" s="13" t="s">
        <v>190</v>
      </c>
      <c r="C67" s="13">
        <v>2.54</v>
      </c>
      <c r="D67" s="13" t="s">
        <v>242</v>
      </c>
      <c r="E67" s="13" t="s">
        <v>241</v>
      </c>
      <c r="F67" s="13">
        <v>3</v>
      </c>
      <c r="G67" s="13">
        <v>180</v>
      </c>
      <c r="H67" s="13">
        <v>0.32</v>
      </c>
      <c r="I67" s="25">
        <f t="shared" si="27"/>
        <v>2.88</v>
      </c>
      <c r="J67" s="14">
        <f t="shared" si="28"/>
        <v>0.43932203389830482</v>
      </c>
      <c r="K67" s="13">
        <v>6.65</v>
      </c>
      <c r="L67" s="14">
        <v>3.05</v>
      </c>
      <c r="M67" s="25">
        <f t="shared" si="29"/>
        <v>20.28</v>
      </c>
      <c r="N67" s="14">
        <f t="shared" si="30"/>
        <v>3.0935593220338973</v>
      </c>
      <c r="O67" s="24">
        <f t="shared" si="31"/>
        <v>0.94</v>
      </c>
      <c r="P67" s="28">
        <f t="shared" si="32"/>
        <v>24.1</v>
      </c>
      <c r="Q67" s="14">
        <f t="shared" si="33"/>
        <v>20.567118644067801</v>
      </c>
      <c r="R67" s="29">
        <v>35</v>
      </c>
      <c r="S67" s="14">
        <f t="shared" si="26"/>
        <v>5.3389830508474567</v>
      </c>
      <c r="T67" s="14">
        <f t="shared" si="34"/>
        <v>29.661016949152543</v>
      </c>
      <c r="U67" s="14">
        <f t="shared" si="36"/>
        <v>1.8061016949152546</v>
      </c>
      <c r="V67" s="32">
        <f t="shared" si="35"/>
        <v>9.0938983050847426</v>
      </c>
      <c r="W67" s="20">
        <f t="shared" si="37"/>
        <v>0.25982566585956407</v>
      </c>
      <c r="X67" s="30">
        <v>35</v>
      </c>
      <c r="Y67" s="19">
        <f t="shared" si="38"/>
        <v>5.3389830508474567</v>
      </c>
      <c r="Z67" s="14">
        <f t="shared" si="39"/>
        <v>29.661016949152543</v>
      </c>
      <c r="AA67" s="30">
        <f t="shared" si="40"/>
        <v>1.4000000000000001</v>
      </c>
      <c r="AB67" s="31">
        <f t="shared" si="41"/>
        <v>7.6938983050847423</v>
      </c>
      <c r="AC67" s="20">
        <f t="shared" si="42"/>
        <v>0.21982566585956406</v>
      </c>
    </row>
    <row r="68" spans="1:29">
      <c r="A68" s="13" t="s">
        <v>173</v>
      </c>
      <c r="B68" s="13" t="s">
        <v>174</v>
      </c>
      <c r="C68" s="13">
        <v>2.54</v>
      </c>
      <c r="D68" s="13" t="s">
        <v>242</v>
      </c>
      <c r="E68" s="13" t="s">
        <v>241</v>
      </c>
      <c r="F68" s="13">
        <v>3</v>
      </c>
      <c r="G68" s="13">
        <v>180</v>
      </c>
      <c r="H68" s="13">
        <v>0.32</v>
      </c>
      <c r="I68" s="25">
        <f t="shared" si="27"/>
        <v>2.88</v>
      </c>
      <c r="J68" s="14">
        <f t="shared" si="28"/>
        <v>0.43932203389830482</v>
      </c>
      <c r="K68" s="13">
        <v>6.65</v>
      </c>
      <c r="L68" s="14">
        <v>3.05</v>
      </c>
      <c r="M68" s="25">
        <f t="shared" si="29"/>
        <v>20.28</v>
      </c>
      <c r="N68" s="14">
        <f t="shared" si="30"/>
        <v>3.0935593220338973</v>
      </c>
      <c r="O68" s="24">
        <f t="shared" si="31"/>
        <v>0.94</v>
      </c>
      <c r="P68" s="28">
        <f t="shared" si="32"/>
        <v>24.1</v>
      </c>
      <c r="Q68" s="14">
        <f t="shared" si="33"/>
        <v>20.567118644067801</v>
      </c>
      <c r="R68" s="29">
        <v>35</v>
      </c>
      <c r="S68" s="14">
        <f t="shared" si="26"/>
        <v>5.3389830508474567</v>
      </c>
      <c r="T68" s="14">
        <f t="shared" si="34"/>
        <v>29.661016949152543</v>
      </c>
      <c r="U68" s="14">
        <f t="shared" si="36"/>
        <v>1.8061016949152546</v>
      </c>
      <c r="V68" s="32">
        <f t="shared" si="35"/>
        <v>9.0938983050847426</v>
      </c>
      <c r="W68" s="20">
        <f t="shared" si="37"/>
        <v>0.25982566585956407</v>
      </c>
      <c r="X68" s="30">
        <v>35</v>
      </c>
      <c r="Y68" s="19">
        <f t="shared" si="38"/>
        <v>5.3389830508474567</v>
      </c>
      <c r="Z68" s="14">
        <f t="shared" si="39"/>
        <v>29.661016949152543</v>
      </c>
      <c r="AA68" s="30">
        <f t="shared" si="40"/>
        <v>1.4000000000000001</v>
      </c>
      <c r="AB68" s="31">
        <f t="shared" si="41"/>
        <v>7.6938983050847423</v>
      </c>
      <c r="AC68" s="20">
        <f t="shared" si="42"/>
        <v>0.21982566585956406</v>
      </c>
    </row>
    <row r="69" spans="1:29">
      <c r="A69" s="13" t="s">
        <v>197</v>
      </c>
      <c r="B69" s="13" t="s">
        <v>198</v>
      </c>
      <c r="C69" s="13">
        <v>2.54</v>
      </c>
      <c r="D69" s="13" t="s">
        <v>242</v>
      </c>
      <c r="E69" s="13" t="s">
        <v>241</v>
      </c>
      <c r="F69" s="13">
        <v>3</v>
      </c>
      <c r="G69" s="13">
        <v>180</v>
      </c>
      <c r="H69" s="13">
        <v>0.32</v>
      </c>
      <c r="I69" s="25">
        <f t="shared" si="27"/>
        <v>2.88</v>
      </c>
      <c r="J69" s="14">
        <f t="shared" si="28"/>
        <v>0.43932203389830482</v>
      </c>
      <c r="K69" s="13">
        <v>6.65</v>
      </c>
      <c r="L69" s="14">
        <v>3.05</v>
      </c>
      <c r="M69" s="25">
        <f t="shared" si="29"/>
        <v>20.28</v>
      </c>
      <c r="N69" s="14">
        <f t="shared" si="30"/>
        <v>3.0935593220338973</v>
      </c>
      <c r="O69" s="24">
        <f t="shared" si="31"/>
        <v>0.94</v>
      </c>
      <c r="P69" s="28">
        <f t="shared" si="32"/>
        <v>24.1</v>
      </c>
      <c r="Q69" s="14">
        <f t="shared" si="33"/>
        <v>20.567118644067801</v>
      </c>
      <c r="R69" s="29">
        <v>35</v>
      </c>
      <c r="S69" s="14">
        <f t="shared" si="26"/>
        <v>5.3389830508474567</v>
      </c>
      <c r="T69" s="14">
        <f t="shared" si="34"/>
        <v>29.661016949152543</v>
      </c>
      <c r="U69" s="14">
        <f t="shared" si="36"/>
        <v>1.8061016949152546</v>
      </c>
      <c r="V69" s="32">
        <f t="shared" si="35"/>
        <v>9.0938983050847426</v>
      </c>
      <c r="W69" s="20">
        <f t="shared" si="37"/>
        <v>0.25982566585956407</v>
      </c>
      <c r="X69" s="30">
        <v>35</v>
      </c>
      <c r="Y69" s="19">
        <f t="shared" si="38"/>
        <v>5.3389830508474567</v>
      </c>
      <c r="Z69" s="14">
        <f t="shared" si="39"/>
        <v>29.661016949152543</v>
      </c>
      <c r="AA69" s="30">
        <f t="shared" si="40"/>
        <v>1.4000000000000001</v>
      </c>
      <c r="AB69" s="31">
        <f t="shared" si="41"/>
        <v>7.6938983050847423</v>
      </c>
      <c r="AC69" s="20">
        <f t="shared" si="42"/>
        <v>0.21982566585956406</v>
      </c>
    </row>
    <row r="70" spans="1:29">
      <c r="A70" s="13" t="s">
        <v>185</v>
      </c>
      <c r="B70" s="13" t="s">
        <v>186</v>
      </c>
      <c r="C70" s="13">
        <v>2.54</v>
      </c>
      <c r="D70" s="13" t="s">
        <v>242</v>
      </c>
      <c r="E70" s="13" t="s">
        <v>241</v>
      </c>
      <c r="F70" s="13">
        <v>3</v>
      </c>
      <c r="G70" s="13">
        <v>180</v>
      </c>
      <c r="H70" s="13">
        <v>0.32</v>
      </c>
      <c r="I70" s="25">
        <f t="shared" si="27"/>
        <v>2.88</v>
      </c>
      <c r="J70" s="14">
        <f t="shared" si="28"/>
        <v>0.43932203389830482</v>
      </c>
      <c r="K70" s="13">
        <v>6.65</v>
      </c>
      <c r="L70" s="14">
        <v>3.05</v>
      </c>
      <c r="M70" s="25">
        <f t="shared" si="29"/>
        <v>20.28</v>
      </c>
      <c r="N70" s="14">
        <f t="shared" si="30"/>
        <v>3.0935593220338973</v>
      </c>
      <c r="O70" s="24">
        <f t="shared" si="31"/>
        <v>0.94</v>
      </c>
      <c r="P70" s="28">
        <f t="shared" si="32"/>
        <v>24.1</v>
      </c>
      <c r="Q70" s="14">
        <f t="shared" si="33"/>
        <v>20.567118644067801</v>
      </c>
      <c r="R70" s="29">
        <v>35</v>
      </c>
      <c r="S70" s="14">
        <f t="shared" si="26"/>
        <v>5.3389830508474567</v>
      </c>
      <c r="T70" s="14">
        <f t="shared" si="34"/>
        <v>29.661016949152543</v>
      </c>
      <c r="U70" s="14">
        <f t="shared" si="36"/>
        <v>1.8061016949152546</v>
      </c>
      <c r="V70" s="32">
        <f t="shared" si="35"/>
        <v>9.0938983050847426</v>
      </c>
      <c r="W70" s="20">
        <f t="shared" si="37"/>
        <v>0.25982566585956407</v>
      </c>
      <c r="X70" s="30">
        <v>35</v>
      </c>
      <c r="Y70" s="19">
        <f t="shared" si="38"/>
        <v>5.3389830508474567</v>
      </c>
      <c r="Z70" s="14">
        <f t="shared" si="39"/>
        <v>29.661016949152543</v>
      </c>
      <c r="AA70" s="30">
        <f t="shared" si="40"/>
        <v>1.4000000000000001</v>
      </c>
      <c r="AB70" s="31">
        <f t="shared" si="41"/>
        <v>7.6938983050847423</v>
      </c>
      <c r="AC70" s="20">
        <f t="shared" si="42"/>
        <v>0.21982566585956406</v>
      </c>
    </row>
    <row r="71" spans="1:29">
      <c r="A71" s="13" t="s">
        <v>177</v>
      </c>
      <c r="B71" s="13" t="s">
        <v>178</v>
      </c>
      <c r="C71" s="13">
        <v>1.7350000000000001</v>
      </c>
      <c r="D71" s="13" t="s">
        <v>240</v>
      </c>
      <c r="E71" s="13" t="s">
        <v>230</v>
      </c>
      <c r="F71" s="13">
        <v>3</v>
      </c>
      <c r="G71" s="13">
        <v>180</v>
      </c>
      <c r="H71" s="13">
        <v>0.32</v>
      </c>
      <c r="I71" s="25">
        <f t="shared" si="27"/>
        <v>2.88</v>
      </c>
      <c r="J71" s="14">
        <f t="shared" si="28"/>
        <v>0.43932203389830482</v>
      </c>
      <c r="K71" s="13">
        <v>6.65</v>
      </c>
      <c r="L71" s="14">
        <v>2.08</v>
      </c>
      <c r="M71" s="25">
        <f t="shared" si="29"/>
        <v>13.83</v>
      </c>
      <c r="N71" s="14">
        <f t="shared" si="30"/>
        <v>2.1096610169491523</v>
      </c>
      <c r="O71" s="24">
        <f t="shared" si="31"/>
        <v>0.94</v>
      </c>
      <c r="P71" s="28">
        <f t="shared" si="32"/>
        <v>17.649999999999999</v>
      </c>
      <c r="Q71" s="14">
        <f t="shared" si="33"/>
        <v>15.101016949152541</v>
      </c>
      <c r="R71" s="29">
        <v>32</v>
      </c>
      <c r="S71" s="14">
        <f t="shared" si="26"/>
        <v>4.8813559322033875</v>
      </c>
      <c r="T71" s="14">
        <f t="shared" si="34"/>
        <v>27.118644067796613</v>
      </c>
      <c r="U71" s="14">
        <f t="shared" si="36"/>
        <v>2.3323728813559303</v>
      </c>
      <c r="V71" s="32">
        <f t="shared" si="35"/>
        <v>12.017627118644072</v>
      </c>
      <c r="W71" s="20">
        <f t="shared" si="37"/>
        <v>0.37555084745762723</v>
      </c>
      <c r="X71" s="30">
        <v>32</v>
      </c>
      <c r="Y71" s="19">
        <f t="shared" si="38"/>
        <v>4.8813559322033875</v>
      </c>
      <c r="Z71" s="14">
        <f t="shared" si="39"/>
        <v>27.118644067796613</v>
      </c>
      <c r="AA71" s="30">
        <f t="shared" si="40"/>
        <v>1.28</v>
      </c>
      <c r="AB71" s="31">
        <f t="shared" si="41"/>
        <v>10.737627118644072</v>
      </c>
      <c r="AC71" s="20">
        <f t="shared" si="42"/>
        <v>0.33555084745762725</v>
      </c>
    </row>
    <row r="72" spans="1:29">
      <c r="A72" s="13" t="s">
        <v>191</v>
      </c>
      <c r="B72" s="13" t="s">
        <v>192</v>
      </c>
      <c r="C72" s="13">
        <v>1.7350000000000001</v>
      </c>
      <c r="D72" s="13" t="s">
        <v>240</v>
      </c>
      <c r="E72" s="13" t="s">
        <v>230</v>
      </c>
      <c r="F72" s="13">
        <v>3</v>
      </c>
      <c r="G72" s="13">
        <v>180</v>
      </c>
      <c r="H72" s="13">
        <v>0.32</v>
      </c>
      <c r="I72" s="25">
        <f t="shared" si="27"/>
        <v>2.88</v>
      </c>
      <c r="J72" s="14">
        <f t="shared" si="28"/>
        <v>0.43932203389830482</v>
      </c>
      <c r="K72" s="13">
        <v>6.65</v>
      </c>
      <c r="L72" s="14">
        <v>2.08</v>
      </c>
      <c r="M72" s="25">
        <f t="shared" si="29"/>
        <v>13.83</v>
      </c>
      <c r="N72" s="14">
        <f t="shared" si="30"/>
        <v>2.1096610169491523</v>
      </c>
      <c r="O72" s="24">
        <f t="shared" si="31"/>
        <v>0.94</v>
      </c>
      <c r="P72" s="28">
        <f t="shared" si="32"/>
        <v>17.649999999999999</v>
      </c>
      <c r="Q72" s="14">
        <f t="shared" si="33"/>
        <v>15.101016949152541</v>
      </c>
      <c r="R72" s="29">
        <v>32</v>
      </c>
      <c r="S72" s="14">
        <f t="shared" si="26"/>
        <v>4.8813559322033875</v>
      </c>
      <c r="T72" s="14">
        <f t="shared" si="34"/>
        <v>27.118644067796613</v>
      </c>
      <c r="U72" s="14">
        <f t="shared" si="36"/>
        <v>2.3323728813559303</v>
      </c>
      <c r="V72" s="32">
        <f t="shared" si="35"/>
        <v>12.017627118644072</v>
      </c>
      <c r="W72" s="20">
        <f t="shared" si="37"/>
        <v>0.37555084745762723</v>
      </c>
      <c r="X72" s="30">
        <v>32</v>
      </c>
      <c r="Y72" s="19">
        <f t="shared" si="38"/>
        <v>4.8813559322033875</v>
      </c>
      <c r="Z72" s="14">
        <f t="shared" si="39"/>
        <v>27.118644067796613</v>
      </c>
      <c r="AA72" s="30">
        <f t="shared" si="40"/>
        <v>1.28</v>
      </c>
      <c r="AB72" s="31">
        <f t="shared" si="41"/>
        <v>10.737627118644072</v>
      </c>
      <c r="AC72" s="20">
        <f t="shared" si="42"/>
        <v>0.33555084745762725</v>
      </c>
    </row>
    <row r="73" spans="1:29">
      <c r="A73" s="13" t="s">
        <v>187</v>
      </c>
      <c r="B73" s="13" t="s">
        <v>188</v>
      </c>
      <c r="C73" s="13">
        <v>1.7350000000000001</v>
      </c>
      <c r="D73" s="13" t="s">
        <v>240</v>
      </c>
      <c r="E73" s="13" t="s">
        <v>230</v>
      </c>
      <c r="F73" s="13">
        <v>3</v>
      </c>
      <c r="G73" s="13">
        <v>180</v>
      </c>
      <c r="H73" s="13">
        <v>0.32</v>
      </c>
      <c r="I73" s="25">
        <f t="shared" si="27"/>
        <v>2.88</v>
      </c>
      <c r="J73" s="14">
        <f t="shared" si="28"/>
        <v>0.43932203389830482</v>
      </c>
      <c r="K73" s="13">
        <v>6.65</v>
      </c>
      <c r="L73" s="14">
        <v>2.08</v>
      </c>
      <c r="M73" s="25">
        <f t="shared" si="29"/>
        <v>13.83</v>
      </c>
      <c r="N73" s="14">
        <f t="shared" si="30"/>
        <v>2.1096610169491523</v>
      </c>
      <c r="O73" s="24">
        <f t="shared" si="31"/>
        <v>0.94</v>
      </c>
      <c r="P73" s="28">
        <f t="shared" si="32"/>
        <v>17.649999999999999</v>
      </c>
      <c r="Q73" s="14">
        <f t="shared" si="33"/>
        <v>15.101016949152541</v>
      </c>
      <c r="R73" s="29">
        <v>32</v>
      </c>
      <c r="S73" s="14">
        <f t="shared" si="26"/>
        <v>4.8813559322033875</v>
      </c>
      <c r="T73" s="14">
        <f t="shared" si="34"/>
        <v>27.118644067796613</v>
      </c>
      <c r="U73" s="14">
        <f t="shared" si="36"/>
        <v>2.3323728813559303</v>
      </c>
      <c r="V73" s="32">
        <f t="shared" si="35"/>
        <v>12.017627118644072</v>
      </c>
      <c r="W73" s="20">
        <f t="shared" si="37"/>
        <v>0.37555084745762723</v>
      </c>
      <c r="X73" s="30">
        <v>32</v>
      </c>
      <c r="Y73" s="19">
        <f t="shared" si="38"/>
        <v>4.8813559322033875</v>
      </c>
      <c r="Z73" s="14">
        <f t="shared" si="39"/>
        <v>27.118644067796613</v>
      </c>
      <c r="AA73" s="30">
        <f t="shared" si="40"/>
        <v>1.28</v>
      </c>
      <c r="AB73" s="31">
        <f t="shared" si="41"/>
        <v>10.737627118644072</v>
      </c>
      <c r="AC73" s="20">
        <f t="shared" si="42"/>
        <v>0.33555084745762725</v>
      </c>
    </row>
    <row r="74" spans="1:29">
      <c r="A74" s="13" t="s">
        <v>171</v>
      </c>
      <c r="B74" s="13" t="s">
        <v>172</v>
      </c>
      <c r="C74" s="13">
        <v>1.7350000000000001</v>
      </c>
      <c r="D74" s="13" t="s">
        <v>242</v>
      </c>
      <c r="E74" s="13" t="s">
        <v>230</v>
      </c>
      <c r="F74" s="13">
        <v>3</v>
      </c>
      <c r="G74" s="13">
        <v>180</v>
      </c>
      <c r="H74" s="13">
        <v>0.32</v>
      </c>
      <c r="I74" s="25">
        <f t="shared" si="27"/>
        <v>2.88</v>
      </c>
      <c r="J74" s="14">
        <f t="shared" si="28"/>
        <v>0.43932203389830482</v>
      </c>
      <c r="K74" s="13">
        <v>6.65</v>
      </c>
      <c r="L74" s="14">
        <v>2.08</v>
      </c>
      <c r="M74" s="25">
        <f t="shared" si="29"/>
        <v>13.83</v>
      </c>
      <c r="N74" s="14">
        <f t="shared" si="30"/>
        <v>2.1096610169491523</v>
      </c>
      <c r="O74" s="24">
        <f t="shared" si="31"/>
        <v>0.94</v>
      </c>
      <c r="P74" s="28">
        <f t="shared" si="32"/>
        <v>17.649999999999999</v>
      </c>
      <c r="Q74" s="14">
        <f t="shared" si="33"/>
        <v>15.101016949152541</v>
      </c>
      <c r="R74" s="29">
        <v>32</v>
      </c>
      <c r="S74" s="14">
        <f t="shared" si="26"/>
        <v>4.8813559322033875</v>
      </c>
      <c r="T74" s="14">
        <f t="shared" si="34"/>
        <v>27.118644067796613</v>
      </c>
      <c r="U74" s="14">
        <f t="shared" si="36"/>
        <v>2.3323728813559303</v>
      </c>
      <c r="V74" s="32">
        <f t="shared" si="35"/>
        <v>12.017627118644072</v>
      </c>
      <c r="W74" s="20">
        <f t="shared" si="37"/>
        <v>0.37555084745762723</v>
      </c>
      <c r="X74" s="30">
        <v>32</v>
      </c>
      <c r="Y74" s="19">
        <f t="shared" si="38"/>
        <v>4.8813559322033875</v>
      </c>
      <c r="Z74" s="14">
        <f t="shared" si="39"/>
        <v>27.118644067796613</v>
      </c>
      <c r="AA74" s="30">
        <f t="shared" si="40"/>
        <v>1.28</v>
      </c>
      <c r="AB74" s="31">
        <f t="shared" si="41"/>
        <v>10.737627118644072</v>
      </c>
      <c r="AC74" s="20">
        <f t="shared" si="42"/>
        <v>0.33555084745762725</v>
      </c>
    </row>
    <row r="75" spans="1:29">
      <c r="A75" s="13" t="s">
        <v>195</v>
      </c>
      <c r="B75" s="13" t="s">
        <v>196</v>
      </c>
      <c r="C75" s="13">
        <v>1.7350000000000001</v>
      </c>
      <c r="D75" s="13" t="s">
        <v>242</v>
      </c>
      <c r="E75" s="13" t="s">
        <v>230</v>
      </c>
      <c r="F75" s="13">
        <v>3</v>
      </c>
      <c r="G75" s="13">
        <v>180</v>
      </c>
      <c r="H75" s="13">
        <v>0.32</v>
      </c>
      <c r="I75" s="25">
        <f t="shared" si="27"/>
        <v>2.88</v>
      </c>
      <c r="J75" s="14">
        <f t="shared" si="28"/>
        <v>0.43932203389830482</v>
      </c>
      <c r="K75" s="13">
        <v>6.65</v>
      </c>
      <c r="L75" s="14">
        <v>2.08</v>
      </c>
      <c r="M75" s="25">
        <f t="shared" si="29"/>
        <v>13.83</v>
      </c>
      <c r="N75" s="14">
        <f t="shared" si="30"/>
        <v>2.1096610169491523</v>
      </c>
      <c r="O75" s="24">
        <f t="shared" si="31"/>
        <v>0.94</v>
      </c>
      <c r="P75" s="28">
        <f t="shared" si="32"/>
        <v>17.649999999999999</v>
      </c>
      <c r="Q75" s="14">
        <f t="shared" si="33"/>
        <v>15.101016949152541</v>
      </c>
      <c r="R75" s="29">
        <v>32</v>
      </c>
      <c r="S75" s="14">
        <f t="shared" si="26"/>
        <v>4.8813559322033875</v>
      </c>
      <c r="T75" s="14">
        <f t="shared" si="34"/>
        <v>27.118644067796613</v>
      </c>
      <c r="U75" s="14">
        <f t="shared" si="36"/>
        <v>2.3323728813559303</v>
      </c>
      <c r="V75" s="32">
        <f t="shared" si="35"/>
        <v>12.017627118644072</v>
      </c>
      <c r="W75" s="20">
        <f t="shared" si="37"/>
        <v>0.37555084745762723</v>
      </c>
      <c r="X75" s="30">
        <v>32</v>
      </c>
      <c r="Y75" s="19">
        <f t="shared" si="38"/>
        <v>4.8813559322033875</v>
      </c>
      <c r="Z75" s="14">
        <f t="shared" si="39"/>
        <v>27.118644067796613</v>
      </c>
      <c r="AA75" s="30">
        <f t="shared" si="40"/>
        <v>1.28</v>
      </c>
      <c r="AB75" s="31">
        <f t="shared" si="41"/>
        <v>10.737627118644072</v>
      </c>
      <c r="AC75" s="20">
        <f t="shared" si="42"/>
        <v>0.33555084745762725</v>
      </c>
    </row>
    <row r="76" spans="1:29">
      <c r="A76" s="13" t="s">
        <v>181</v>
      </c>
      <c r="B76" s="13" t="s">
        <v>182</v>
      </c>
      <c r="C76" s="13">
        <v>1.7350000000000001</v>
      </c>
      <c r="D76" s="13" t="s">
        <v>242</v>
      </c>
      <c r="E76" s="13" t="s">
        <v>230</v>
      </c>
      <c r="F76" s="13">
        <v>3</v>
      </c>
      <c r="G76" s="13">
        <v>180</v>
      </c>
      <c r="H76" s="13">
        <v>0.32</v>
      </c>
      <c r="I76" s="25">
        <f t="shared" si="27"/>
        <v>2.88</v>
      </c>
      <c r="J76" s="14">
        <f t="shared" si="28"/>
        <v>0.43932203389830482</v>
      </c>
      <c r="K76" s="13">
        <v>6.65</v>
      </c>
      <c r="L76" s="14">
        <v>2.08</v>
      </c>
      <c r="M76" s="25">
        <f t="shared" si="29"/>
        <v>13.83</v>
      </c>
      <c r="N76" s="14">
        <f t="shared" si="30"/>
        <v>2.1096610169491523</v>
      </c>
      <c r="O76" s="24">
        <f t="shared" si="31"/>
        <v>0.94</v>
      </c>
      <c r="P76" s="28">
        <f t="shared" si="32"/>
        <v>17.649999999999999</v>
      </c>
      <c r="Q76" s="14">
        <f t="shared" si="33"/>
        <v>15.101016949152541</v>
      </c>
      <c r="R76" s="29">
        <v>32</v>
      </c>
      <c r="S76" s="14">
        <f t="shared" si="26"/>
        <v>4.8813559322033875</v>
      </c>
      <c r="T76" s="14">
        <f t="shared" si="34"/>
        <v>27.118644067796613</v>
      </c>
      <c r="U76" s="14">
        <f t="shared" si="36"/>
        <v>2.3323728813559303</v>
      </c>
      <c r="V76" s="32">
        <f t="shared" si="35"/>
        <v>12.017627118644072</v>
      </c>
      <c r="W76" s="20">
        <f t="shared" si="37"/>
        <v>0.37555084745762723</v>
      </c>
      <c r="X76" s="30">
        <v>32</v>
      </c>
      <c r="Y76" s="19">
        <f t="shared" si="38"/>
        <v>4.8813559322033875</v>
      </c>
      <c r="Z76" s="14">
        <f t="shared" si="39"/>
        <v>27.118644067796613</v>
      </c>
      <c r="AA76" s="30">
        <f t="shared" si="40"/>
        <v>1.28</v>
      </c>
      <c r="AB76" s="31">
        <f t="shared" si="41"/>
        <v>10.737627118644072</v>
      </c>
      <c r="AC76" s="20">
        <f t="shared" si="42"/>
        <v>0.33555084745762725</v>
      </c>
    </row>
    <row r="77" spans="1:29">
      <c r="A77" s="13" t="s">
        <v>175</v>
      </c>
      <c r="B77" s="13" t="s">
        <v>176</v>
      </c>
      <c r="C77" s="13">
        <v>1.542</v>
      </c>
      <c r="D77" s="13" t="s">
        <v>240</v>
      </c>
      <c r="E77" s="13" t="s">
        <v>230</v>
      </c>
      <c r="F77" s="13">
        <v>3</v>
      </c>
      <c r="G77" s="13">
        <v>180</v>
      </c>
      <c r="H77" s="13">
        <v>0.32</v>
      </c>
      <c r="I77" s="25">
        <f t="shared" si="27"/>
        <v>2.88</v>
      </c>
      <c r="J77" s="14">
        <f t="shared" si="28"/>
        <v>0.43932203389830482</v>
      </c>
      <c r="K77" s="13">
        <v>6.65</v>
      </c>
      <c r="L77" s="14">
        <v>1.85</v>
      </c>
      <c r="M77" s="25">
        <f t="shared" si="29"/>
        <v>12.3</v>
      </c>
      <c r="N77" s="14">
        <f t="shared" si="30"/>
        <v>1.8762711864406771</v>
      </c>
      <c r="O77" s="24">
        <f t="shared" si="31"/>
        <v>0.94</v>
      </c>
      <c r="P77" s="28">
        <f t="shared" si="32"/>
        <v>16.12</v>
      </c>
      <c r="Q77" s="14">
        <f t="shared" si="33"/>
        <v>13.804406779661019</v>
      </c>
      <c r="R77" s="29">
        <v>22</v>
      </c>
      <c r="S77" s="14">
        <f t="shared" si="26"/>
        <v>3.3559322033898304</v>
      </c>
      <c r="T77" s="14">
        <f t="shared" si="34"/>
        <v>18.64406779661017</v>
      </c>
      <c r="U77" s="14">
        <f t="shared" si="36"/>
        <v>1.0403389830508485</v>
      </c>
      <c r="V77" s="32">
        <f t="shared" si="35"/>
        <v>4.839661016949151</v>
      </c>
      <c r="W77" s="20">
        <f t="shared" si="37"/>
        <v>0.21998459167950687</v>
      </c>
      <c r="X77" s="30">
        <v>25</v>
      </c>
      <c r="Y77" s="19">
        <f t="shared" si="38"/>
        <v>3.8135593220338961</v>
      </c>
      <c r="Z77" s="14">
        <f t="shared" si="39"/>
        <v>21.186440677966104</v>
      </c>
      <c r="AA77" s="30">
        <f t="shared" si="40"/>
        <v>1</v>
      </c>
      <c r="AB77" s="31">
        <f t="shared" si="41"/>
        <v>6.3820338983050853</v>
      </c>
      <c r="AC77" s="20">
        <f t="shared" si="42"/>
        <v>0.25528135593220341</v>
      </c>
    </row>
    <row r="78" spans="1:29">
      <c r="A78" s="13" t="s">
        <v>183</v>
      </c>
      <c r="B78" s="13" t="s">
        <v>184</v>
      </c>
      <c r="C78" s="13">
        <v>1.542</v>
      </c>
      <c r="D78" s="13" t="s">
        <v>240</v>
      </c>
      <c r="E78" s="13" t="s">
        <v>230</v>
      </c>
      <c r="F78" s="13">
        <v>3</v>
      </c>
      <c r="G78" s="13">
        <v>180</v>
      </c>
      <c r="H78" s="13">
        <v>0.32</v>
      </c>
      <c r="I78" s="25">
        <f t="shared" si="27"/>
        <v>2.88</v>
      </c>
      <c r="J78" s="14">
        <f t="shared" si="28"/>
        <v>0.43932203389830482</v>
      </c>
      <c r="K78" s="13">
        <v>6.65</v>
      </c>
      <c r="L78" s="14">
        <v>1.85</v>
      </c>
      <c r="M78" s="25">
        <f t="shared" si="29"/>
        <v>12.3</v>
      </c>
      <c r="N78" s="14">
        <f t="shared" si="30"/>
        <v>1.8762711864406771</v>
      </c>
      <c r="O78" s="24">
        <f t="shared" si="31"/>
        <v>0.94</v>
      </c>
      <c r="P78" s="28">
        <f t="shared" si="32"/>
        <v>16.12</v>
      </c>
      <c r="Q78" s="14">
        <f t="shared" si="33"/>
        <v>13.804406779661019</v>
      </c>
      <c r="R78" s="29">
        <v>25</v>
      </c>
      <c r="S78" s="14">
        <f t="shared" si="26"/>
        <v>3.8135593220338961</v>
      </c>
      <c r="T78" s="14">
        <f t="shared" si="34"/>
        <v>21.186440677966104</v>
      </c>
      <c r="U78" s="14">
        <f t="shared" si="36"/>
        <v>1.4979661016949142</v>
      </c>
      <c r="V78" s="32">
        <f t="shared" si="35"/>
        <v>7.3820338983050853</v>
      </c>
      <c r="W78" s="20">
        <f t="shared" si="37"/>
        <v>0.29528135593220339</v>
      </c>
      <c r="X78" s="30">
        <v>25</v>
      </c>
      <c r="Y78" s="19">
        <f t="shared" si="38"/>
        <v>3.8135593220338961</v>
      </c>
      <c r="Z78" s="14">
        <f t="shared" si="39"/>
        <v>21.186440677966104</v>
      </c>
      <c r="AA78" s="30">
        <f t="shared" si="40"/>
        <v>1</v>
      </c>
      <c r="AB78" s="31">
        <f t="shared" si="41"/>
        <v>6.3820338983050853</v>
      </c>
      <c r="AC78" s="20">
        <f t="shared" si="42"/>
        <v>0.25528135593220341</v>
      </c>
    </row>
    <row r="79" spans="1:29">
      <c r="A79" s="13" t="s">
        <v>149</v>
      </c>
      <c r="B79" s="13" t="s">
        <v>150</v>
      </c>
      <c r="C79" s="13">
        <v>2.7949999999999999</v>
      </c>
      <c r="D79" s="13" t="s">
        <v>240</v>
      </c>
      <c r="E79" s="13" t="s">
        <v>241</v>
      </c>
      <c r="F79" s="13">
        <v>3</v>
      </c>
      <c r="G79" s="13">
        <v>180</v>
      </c>
      <c r="H79" s="13">
        <v>0.32</v>
      </c>
      <c r="I79" s="25">
        <f t="shared" si="27"/>
        <v>2.88</v>
      </c>
      <c r="J79" s="14">
        <f t="shared" si="28"/>
        <v>0.43932203389830482</v>
      </c>
      <c r="K79" s="13">
        <v>6.65</v>
      </c>
      <c r="L79" s="14">
        <v>3.35</v>
      </c>
      <c r="M79" s="25">
        <f t="shared" si="29"/>
        <v>22.28</v>
      </c>
      <c r="N79" s="14">
        <f t="shared" si="30"/>
        <v>3.3986440677966101</v>
      </c>
      <c r="O79" s="24">
        <f t="shared" si="31"/>
        <v>0.94</v>
      </c>
      <c r="P79" s="28">
        <f t="shared" si="32"/>
        <v>26.1</v>
      </c>
      <c r="Q79" s="14">
        <f t="shared" si="33"/>
        <v>22.262033898305088</v>
      </c>
      <c r="R79" s="29">
        <v>37</v>
      </c>
      <c r="S79" s="14">
        <f t="shared" si="26"/>
        <v>5.6440677966101696</v>
      </c>
      <c r="T79" s="14">
        <f t="shared" si="34"/>
        <v>31.35593220338983</v>
      </c>
      <c r="U79" s="14">
        <f t="shared" si="36"/>
        <v>1.8061016949152546</v>
      </c>
      <c r="V79" s="32">
        <f t="shared" si="35"/>
        <v>9.0938983050847426</v>
      </c>
      <c r="W79" s="20">
        <f t="shared" si="37"/>
        <v>0.24578103527256062</v>
      </c>
      <c r="X79" s="30">
        <v>37</v>
      </c>
      <c r="Y79" s="19">
        <f t="shared" si="38"/>
        <v>5.6440677966101696</v>
      </c>
      <c r="Z79" s="14">
        <f t="shared" si="39"/>
        <v>31.35593220338983</v>
      </c>
      <c r="AA79" s="30">
        <f t="shared" si="40"/>
        <v>1.48</v>
      </c>
      <c r="AB79" s="31">
        <f t="shared" si="41"/>
        <v>7.6138983050847422</v>
      </c>
      <c r="AC79" s="20">
        <f t="shared" si="42"/>
        <v>0.20578103527256059</v>
      </c>
    </row>
    <row r="80" spans="1:29">
      <c r="A80" s="13" t="s">
        <v>167</v>
      </c>
      <c r="B80" s="13" t="s">
        <v>168</v>
      </c>
      <c r="C80" s="13">
        <v>2.7949999999999999</v>
      </c>
      <c r="D80" s="13" t="s">
        <v>240</v>
      </c>
      <c r="E80" s="13" t="s">
        <v>241</v>
      </c>
      <c r="F80" s="13">
        <v>3</v>
      </c>
      <c r="G80" s="13">
        <v>180</v>
      </c>
      <c r="H80" s="13">
        <v>0.32</v>
      </c>
      <c r="I80" s="25">
        <f t="shared" si="27"/>
        <v>2.88</v>
      </c>
      <c r="J80" s="14">
        <f t="shared" si="28"/>
        <v>0.43932203389830482</v>
      </c>
      <c r="K80" s="13">
        <v>6.65</v>
      </c>
      <c r="L80" s="14">
        <v>3.35</v>
      </c>
      <c r="M80" s="25">
        <f t="shared" si="29"/>
        <v>22.28</v>
      </c>
      <c r="N80" s="14">
        <f t="shared" si="30"/>
        <v>3.3986440677966101</v>
      </c>
      <c r="O80" s="24">
        <f t="shared" si="31"/>
        <v>0.94</v>
      </c>
      <c r="P80" s="28">
        <f t="shared" si="32"/>
        <v>26.1</v>
      </c>
      <c r="Q80" s="14">
        <f t="shared" si="33"/>
        <v>22.262033898305088</v>
      </c>
      <c r="R80" s="29">
        <v>37</v>
      </c>
      <c r="S80" s="14">
        <f t="shared" si="26"/>
        <v>5.6440677966101696</v>
      </c>
      <c r="T80" s="14">
        <f t="shared" si="34"/>
        <v>31.35593220338983</v>
      </c>
      <c r="U80" s="14">
        <f t="shared" si="36"/>
        <v>1.8061016949152546</v>
      </c>
      <c r="V80" s="32">
        <f t="shared" si="35"/>
        <v>9.0938983050847426</v>
      </c>
      <c r="W80" s="20">
        <f t="shared" si="37"/>
        <v>0.24578103527256062</v>
      </c>
      <c r="X80" s="30">
        <v>37</v>
      </c>
      <c r="Y80" s="19">
        <f t="shared" si="38"/>
        <v>5.6440677966101696</v>
      </c>
      <c r="Z80" s="14">
        <f t="shared" si="39"/>
        <v>31.35593220338983</v>
      </c>
      <c r="AA80" s="30">
        <f t="shared" si="40"/>
        <v>1.48</v>
      </c>
      <c r="AB80" s="31">
        <f t="shared" si="41"/>
        <v>7.6138983050847422</v>
      </c>
      <c r="AC80" s="20">
        <f t="shared" si="42"/>
        <v>0.20578103527256059</v>
      </c>
    </row>
    <row r="81" spans="1:29">
      <c r="A81" s="13" t="s">
        <v>161</v>
      </c>
      <c r="B81" s="13" t="s">
        <v>162</v>
      </c>
      <c r="C81" s="13">
        <v>2.7949999999999999</v>
      </c>
      <c r="D81" s="13" t="s">
        <v>242</v>
      </c>
      <c r="E81" s="13" t="s">
        <v>241</v>
      </c>
      <c r="F81" s="13">
        <v>3</v>
      </c>
      <c r="G81" s="13">
        <v>180</v>
      </c>
      <c r="H81" s="13">
        <v>0.32</v>
      </c>
      <c r="I81" s="25">
        <f t="shared" si="27"/>
        <v>2.88</v>
      </c>
      <c r="J81" s="14">
        <f t="shared" si="28"/>
        <v>0.43932203389830482</v>
      </c>
      <c r="K81" s="13">
        <v>6.65</v>
      </c>
      <c r="L81" s="14">
        <v>3.35</v>
      </c>
      <c r="M81" s="25">
        <f t="shared" si="29"/>
        <v>22.28</v>
      </c>
      <c r="N81" s="14">
        <f t="shared" si="30"/>
        <v>3.3986440677966101</v>
      </c>
      <c r="O81" s="24">
        <f t="shared" si="31"/>
        <v>0.94</v>
      </c>
      <c r="P81" s="28">
        <f t="shared" si="32"/>
        <v>26.1</v>
      </c>
      <c r="Q81" s="14">
        <f t="shared" si="33"/>
        <v>22.262033898305088</v>
      </c>
      <c r="R81" s="29">
        <v>37</v>
      </c>
      <c r="S81" s="14">
        <f t="shared" si="26"/>
        <v>5.6440677966101696</v>
      </c>
      <c r="T81" s="14">
        <f t="shared" si="34"/>
        <v>31.35593220338983</v>
      </c>
      <c r="U81" s="14">
        <f t="shared" si="36"/>
        <v>1.8061016949152546</v>
      </c>
      <c r="V81" s="32">
        <f t="shared" si="35"/>
        <v>9.0938983050847426</v>
      </c>
      <c r="W81" s="20">
        <f t="shared" si="37"/>
        <v>0.24578103527256062</v>
      </c>
      <c r="X81" s="30">
        <v>37</v>
      </c>
      <c r="Y81" s="19">
        <f t="shared" si="38"/>
        <v>5.6440677966101696</v>
      </c>
      <c r="Z81" s="14">
        <f t="shared" si="39"/>
        <v>31.35593220338983</v>
      </c>
      <c r="AA81" s="30">
        <f t="shared" si="40"/>
        <v>1.48</v>
      </c>
      <c r="AB81" s="31">
        <f t="shared" si="41"/>
        <v>7.6138983050847422</v>
      </c>
      <c r="AC81" s="20">
        <f t="shared" si="42"/>
        <v>0.20578103527256059</v>
      </c>
    </row>
    <row r="82" spans="1:29">
      <c r="A82" s="13" t="s">
        <v>157</v>
      </c>
      <c r="B82" s="13" t="s">
        <v>158</v>
      </c>
      <c r="C82" s="13">
        <v>2.7949999999999999</v>
      </c>
      <c r="D82" s="13" t="s">
        <v>242</v>
      </c>
      <c r="E82" s="13" t="s">
        <v>241</v>
      </c>
      <c r="F82" s="13">
        <v>3</v>
      </c>
      <c r="G82" s="13">
        <v>180</v>
      </c>
      <c r="H82" s="13">
        <v>0.32</v>
      </c>
      <c r="I82" s="25">
        <f t="shared" si="27"/>
        <v>2.88</v>
      </c>
      <c r="J82" s="14">
        <f t="shared" si="28"/>
        <v>0.43932203389830482</v>
      </c>
      <c r="K82" s="13">
        <v>6.65</v>
      </c>
      <c r="L82" s="14">
        <v>3.35</v>
      </c>
      <c r="M82" s="25">
        <f t="shared" si="29"/>
        <v>22.28</v>
      </c>
      <c r="N82" s="14">
        <f t="shared" si="30"/>
        <v>3.3986440677966101</v>
      </c>
      <c r="O82" s="24">
        <f t="shared" si="31"/>
        <v>0.94</v>
      </c>
      <c r="P82" s="28">
        <f t="shared" si="32"/>
        <v>26.1</v>
      </c>
      <c r="Q82" s="14">
        <f t="shared" si="33"/>
        <v>22.262033898305088</v>
      </c>
      <c r="R82" s="29">
        <v>37</v>
      </c>
      <c r="S82" s="14">
        <f t="shared" si="26"/>
        <v>5.6440677966101696</v>
      </c>
      <c r="T82" s="14">
        <f t="shared" si="34"/>
        <v>31.35593220338983</v>
      </c>
      <c r="U82" s="14">
        <f t="shared" si="36"/>
        <v>1.8061016949152546</v>
      </c>
      <c r="V82" s="32">
        <f t="shared" si="35"/>
        <v>9.0938983050847426</v>
      </c>
      <c r="W82" s="20">
        <f t="shared" si="37"/>
        <v>0.24578103527256062</v>
      </c>
      <c r="X82" s="30">
        <v>37</v>
      </c>
      <c r="Y82" s="19">
        <f t="shared" si="38"/>
        <v>5.6440677966101696</v>
      </c>
      <c r="Z82" s="14">
        <f t="shared" si="39"/>
        <v>31.35593220338983</v>
      </c>
      <c r="AA82" s="30">
        <f t="shared" si="40"/>
        <v>1.48</v>
      </c>
      <c r="AB82" s="31">
        <f t="shared" si="41"/>
        <v>7.6138983050847422</v>
      </c>
      <c r="AC82" s="20">
        <f t="shared" si="42"/>
        <v>0.20578103527256059</v>
      </c>
    </row>
    <row r="83" spans="1:29">
      <c r="A83" s="13" t="s">
        <v>143</v>
      </c>
      <c r="B83" s="13" t="s">
        <v>144</v>
      </c>
      <c r="C83" s="13">
        <v>2.7949999999999999</v>
      </c>
      <c r="D83" s="13" t="s">
        <v>242</v>
      </c>
      <c r="E83" s="13" t="s">
        <v>241</v>
      </c>
      <c r="F83" s="13">
        <v>3</v>
      </c>
      <c r="G83" s="13">
        <v>180</v>
      </c>
      <c r="H83" s="13">
        <v>0.32</v>
      </c>
      <c r="I83" s="25">
        <f t="shared" si="27"/>
        <v>2.88</v>
      </c>
      <c r="J83" s="14">
        <f t="shared" si="28"/>
        <v>0.43932203389830482</v>
      </c>
      <c r="K83" s="13">
        <v>6.65</v>
      </c>
      <c r="L83" s="14">
        <v>3.35</v>
      </c>
      <c r="M83" s="25">
        <f t="shared" si="29"/>
        <v>22.28</v>
      </c>
      <c r="N83" s="14">
        <f t="shared" si="30"/>
        <v>3.3986440677966101</v>
      </c>
      <c r="O83" s="24">
        <f t="shared" si="31"/>
        <v>0.94</v>
      </c>
      <c r="P83" s="28">
        <f t="shared" si="32"/>
        <v>26.1</v>
      </c>
      <c r="Q83" s="14">
        <f t="shared" si="33"/>
        <v>22.262033898305088</v>
      </c>
      <c r="R83" s="29">
        <v>37</v>
      </c>
      <c r="S83" s="14">
        <f t="shared" si="26"/>
        <v>5.6440677966101696</v>
      </c>
      <c r="T83" s="14">
        <f t="shared" si="34"/>
        <v>31.35593220338983</v>
      </c>
      <c r="U83" s="14">
        <f t="shared" si="36"/>
        <v>1.8061016949152546</v>
      </c>
      <c r="V83" s="32">
        <f t="shared" si="35"/>
        <v>9.0938983050847426</v>
      </c>
      <c r="W83" s="20">
        <f t="shared" si="37"/>
        <v>0.24578103527256062</v>
      </c>
      <c r="X83" s="30">
        <v>37</v>
      </c>
      <c r="Y83" s="19">
        <f t="shared" si="38"/>
        <v>5.6440677966101696</v>
      </c>
      <c r="Z83" s="14">
        <f t="shared" si="39"/>
        <v>31.35593220338983</v>
      </c>
      <c r="AA83" s="30">
        <f t="shared" si="40"/>
        <v>1.48</v>
      </c>
      <c r="AB83" s="31">
        <f t="shared" si="41"/>
        <v>7.6138983050847422</v>
      </c>
      <c r="AC83" s="20">
        <f t="shared" si="42"/>
        <v>0.20578103527256059</v>
      </c>
    </row>
    <row r="84" spans="1:29">
      <c r="A84" s="13" t="s">
        <v>153</v>
      </c>
      <c r="B84" s="13" t="s">
        <v>154</v>
      </c>
      <c r="C84" s="13">
        <v>2.7949999999999999</v>
      </c>
      <c r="D84" s="13" t="s">
        <v>242</v>
      </c>
      <c r="E84" s="13" t="s">
        <v>241</v>
      </c>
      <c r="F84" s="13">
        <v>3</v>
      </c>
      <c r="G84" s="13">
        <v>180</v>
      </c>
      <c r="H84" s="13">
        <v>0.32</v>
      </c>
      <c r="I84" s="25">
        <f t="shared" si="27"/>
        <v>2.88</v>
      </c>
      <c r="J84" s="14">
        <f t="shared" si="28"/>
        <v>0.43932203389830482</v>
      </c>
      <c r="K84" s="13">
        <v>6.65</v>
      </c>
      <c r="L84" s="14">
        <v>3.35</v>
      </c>
      <c r="M84" s="25">
        <f t="shared" si="29"/>
        <v>22.28</v>
      </c>
      <c r="N84" s="14">
        <f t="shared" si="30"/>
        <v>3.3986440677966101</v>
      </c>
      <c r="O84" s="24">
        <f t="shared" si="31"/>
        <v>0.94</v>
      </c>
      <c r="P84" s="28">
        <f t="shared" si="32"/>
        <v>26.1</v>
      </c>
      <c r="Q84" s="14">
        <f t="shared" si="33"/>
        <v>22.262033898305088</v>
      </c>
      <c r="R84" s="29">
        <v>37</v>
      </c>
      <c r="S84" s="14">
        <f t="shared" si="26"/>
        <v>5.6440677966101696</v>
      </c>
      <c r="T84" s="14">
        <f t="shared" si="34"/>
        <v>31.35593220338983</v>
      </c>
      <c r="U84" s="14">
        <f t="shared" si="36"/>
        <v>1.8061016949152546</v>
      </c>
      <c r="V84" s="32">
        <f t="shared" si="35"/>
        <v>9.0938983050847426</v>
      </c>
      <c r="W84" s="20">
        <f t="shared" si="37"/>
        <v>0.24578103527256062</v>
      </c>
      <c r="X84" s="30">
        <v>37</v>
      </c>
      <c r="Y84" s="19">
        <f t="shared" si="38"/>
        <v>5.6440677966101696</v>
      </c>
      <c r="Z84" s="14">
        <f t="shared" si="39"/>
        <v>31.35593220338983</v>
      </c>
      <c r="AA84" s="30">
        <f t="shared" si="40"/>
        <v>1.48</v>
      </c>
      <c r="AB84" s="31">
        <f t="shared" si="41"/>
        <v>7.6138983050847422</v>
      </c>
      <c r="AC84" s="20">
        <f t="shared" si="42"/>
        <v>0.20578103527256059</v>
      </c>
    </row>
    <row r="85" spans="1:29">
      <c r="A85" s="13" t="s">
        <v>199</v>
      </c>
      <c r="B85" s="13" t="s">
        <v>200</v>
      </c>
      <c r="C85" s="13">
        <v>0.73499999999999999</v>
      </c>
      <c r="D85" s="13" t="s">
        <v>243</v>
      </c>
      <c r="E85" s="13" t="s">
        <v>227</v>
      </c>
      <c r="F85" s="13">
        <v>1.7</v>
      </c>
      <c r="G85" s="13">
        <v>120</v>
      </c>
      <c r="H85" s="13">
        <v>0.32</v>
      </c>
      <c r="I85" s="25">
        <f t="shared" si="27"/>
        <v>1.0900000000000001</v>
      </c>
      <c r="J85" s="14">
        <f t="shared" si="28"/>
        <v>0.16627118644067795</v>
      </c>
      <c r="K85" s="13">
        <v>6.65</v>
      </c>
      <c r="L85" s="14">
        <v>0.88</v>
      </c>
      <c r="M85" s="25">
        <f t="shared" si="29"/>
        <v>5.85</v>
      </c>
      <c r="N85" s="14">
        <f t="shared" si="30"/>
        <v>0.89237288135593218</v>
      </c>
      <c r="O85" s="24">
        <f t="shared" si="31"/>
        <v>0.53</v>
      </c>
      <c r="P85" s="28">
        <f t="shared" si="32"/>
        <v>7.47</v>
      </c>
      <c r="Q85" s="14">
        <f t="shared" si="33"/>
        <v>6.4113559322033895</v>
      </c>
      <c r="R85" s="29">
        <v>15</v>
      </c>
      <c r="S85" s="14">
        <f t="shared" si="26"/>
        <v>2.2881355932203391</v>
      </c>
      <c r="T85" s="14">
        <f t="shared" si="34"/>
        <v>12.711864406779661</v>
      </c>
      <c r="U85" s="14">
        <f t="shared" si="36"/>
        <v>1.2294915254237289</v>
      </c>
      <c r="V85" s="32">
        <f t="shared" si="35"/>
        <v>6.3005084745762714</v>
      </c>
      <c r="W85" s="20">
        <f t="shared" si="37"/>
        <v>0.42003389830508475</v>
      </c>
      <c r="X85" s="30">
        <v>15</v>
      </c>
      <c r="Y85" s="19">
        <f t="shared" si="38"/>
        <v>2.2881355932203391</v>
      </c>
      <c r="Z85" s="14">
        <f t="shared" si="39"/>
        <v>12.711864406779661</v>
      </c>
      <c r="AA85" s="30">
        <f t="shared" si="40"/>
        <v>0.6</v>
      </c>
      <c r="AB85" s="31">
        <f t="shared" si="41"/>
        <v>5.7005084745762717</v>
      </c>
      <c r="AC85" s="20">
        <f t="shared" si="42"/>
        <v>0.38003389830508477</v>
      </c>
    </row>
    <row r="86" spans="1:29">
      <c r="A86" s="13" t="s">
        <v>211</v>
      </c>
      <c r="B86" s="13" t="s">
        <v>212</v>
      </c>
      <c r="C86" s="13">
        <v>0.73499999999999999</v>
      </c>
      <c r="D86" s="13" t="s">
        <v>237</v>
      </c>
      <c r="E86" s="13" t="s">
        <v>227</v>
      </c>
      <c r="F86" s="13">
        <v>1.7</v>
      </c>
      <c r="G86" s="13">
        <v>120</v>
      </c>
      <c r="H86" s="13">
        <v>0.32</v>
      </c>
      <c r="I86" s="25">
        <f t="shared" si="27"/>
        <v>1.0900000000000001</v>
      </c>
      <c r="J86" s="14">
        <f t="shared" si="28"/>
        <v>0.16627118644067795</v>
      </c>
      <c r="K86" s="13">
        <v>6.65</v>
      </c>
      <c r="L86" s="14">
        <v>0.88</v>
      </c>
      <c r="M86" s="25">
        <f t="shared" si="29"/>
        <v>5.85</v>
      </c>
      <c r="N86" s="14">
        <f t="shared" si="30"/>
        <v>0.89237288135593218</v>
      </c>
      <c r="O86" s="24">
        <f t="shared" si="31"/>
        <v>0.53</v>
      </c>
      <c r="P86" s="28">
        <f t="shared" si="32"/>
        <v>7.47</v>
      </c>
      <c r="Q86" s="14">
        <f t="shared" si="33"/>
        <v>6.4113559322033895</v>
      </c>
      <c r="R86" s="29">
        <v>15</v>
      </c>
      <c r="S86" s="14">
        <f t="shared" si="26"/>
        <v>2.2881355932203391</v>
      </c>
      <c r="T86" s="14">
        <f t="shared" si="34"/>
        <v>12.711864406779661</v>
      </c>
      <c r="U86" s="14">
        <f t="shared" si="36"/>
        <v>1.2294915254237289</v>
      </c>
      <c r="V86" s="32">
        <f t="shared" si="35"/>
        <v>6.3005084745762714</v>
      </c>
      <c r="W86" s="20">
        <f t="shared" si="37"/>
        <v>0.42003389830508475</v>
      </c>
      <c r="X86" s="30">
        <v>15</v>
      </c>
      <c r="Y86" s="19">
        <f t="shared" si="38"/>
        <v>2.2881355932203391</v>
      </c>
      <c r="Z86" s="14">
        <f t="shared" si="39"/>
        <v>12.711864406779661</v>
      </c>
      <c r="AA86" s="30">
        <f t="shared" si="40"/>
        <v>0.6</v>
      </c>
      <c r="AB86" s="31">
        <f t="shared" si="41"/>
        <v>5.7005084745762717</v>
      </c>
      <c r="AC86" s="20">
        <f t="shared" si="42"/>
        <v>0.38003389830508477</v>
      </c>
    </row>
    <row r="87" spans="1:29">
      <c r="A87" s="13" t="s">
        <v>3</v>
      </c>
      <c r="B87" s="13" t="s">
        <v>4</v>
      </c>
      <c r="C87" s="13">
        <v>0.73499999999999999</v>
      </c>
      <c r="D87" s="13" t="s">
        <v>237</v>
      </c>
      <c r="E87" s="13" t="s">
        <v>227</v>
      </c>
      <c r="F87" s="13">
        <v>1.7</v>
      </c>
      <c r="G87" s="13">
        <v>120</v>
      </c>
      <c r="H87" s="13">
        <v>0.32</v>
      </c>
      <c r="I87" s="25">
        <f t="shared" si="27"/>
        <v>1.0900000000000001</v>
      </c>
      <c r="J87" s="14">
        <f t="shared" si="28"/>
        <v>0.16627118644067795</v>
      </c>
      <c r="K87" s="13">
        <v>6.65</v>
      </c>
      <c r="L87" s="14">
        <v>0.88</v>
      </c>
      <c r="M87" s="25">
        <f t="shared" si="29"/>
        <v>5.85</v>
      </c>
      <c r="N87" s="14">
        <f t="shared" si="30"/>
        <v>0.89237288135593218</v>
      </c>
      <c r="O87" s="24">
        <f t="shared" si="31"/>
        <v>0.53</v>
      </c>
      <c r="P87" s="28">
        <f t="shared" si="32"/>
        <v>7.47</v>
      </c>
      <c r="Q87" s="14">
        <f t="shared" si="33"/>
        <v>6.4113559322033895</v>
      </c>
      <c r="R87" s="29">
        <v>12</v>
      </c>
      <c r="S87" s="14">
        <f t="shared" si="26"/>
        <v>1.8305084745762699</v>
      </c>
      <c r="T87" s="14">
        <f t="shared" si="34"/>
        <v>10.16949152542373</v>
      </c>
      <c r="U87" s="14">
        <f t="shared" si="36"/>
        <v>0.77186440677965973</v>
      </c>
      <c r="V87" s="32">
        <f t="shared" si="35"/>
        <v>3.7581355932203406</v>
      </c>
      <c r="W87" s="20">
        <f t="shared" si="37"/>
        <v>0.31317796610169507</v>
      </c>
      <c r="X87" s="30">
        <v>15</v>
      </c>
      <c r="Y87" s="19">
        <f t="shared" si="38"/>
        <v>2.2881355932203391</v>
      </c>
      <c r="Z87" s="14">
        <f t="shared" si="39"/>
        <v>12.711864406779661</v>
      </c>
      <c r="AA87" s="30">
        <f t="shared" si="40"/>
        <v>0.6</v>
      </c>
      <c r="AB87" s="31">
        <f t="shared" si="41"/>
        <v>5.7005084745762717</v>
      </c>
      <c r="AC87" s="20">
        <f t="shared" si="42"/>
        <v>0.38003389830508477</v>
      </c>
    </row>
    <row r="88" spans="1:29">
      <c r="A88" s="13" t="s">
        <v>151</v>
      </c>
      <c r="B88" s="13" t="s">
        <v>152</v>
      </c>
      <c r="C88" s="13">
        <v>3.165</v>
      </c>
      <c r="D88" s="13" t="s">
        <v>244</v>
      </c>
      <c r="E88" s="13" t="s">
        <v>241</v>
      </c>
      <c r="F88" s="13">
        <v>3</v>
      </c>
      <c r="G88" s="13">
        <v>180</v>
      </c>
      <c r="H88" s="13">
        <v>0.32</v>
      </c>
      <c r="I88" s="25">
        <f t="shared" si="27"/>
        <v>2.88</v>
      </c>
      <c r="J88" s="14">
        <f t="shared" si="28"/>
        <v>0.43932203389830482</v>
      </c>
      <c r="K88" s="13">
        <v>5</v>
      </c>
      <c r="L88" s="14">
        <v>3.8</v>
      </c>
      <c r="M88" s="25">
        <f t="shared" si="29"/>
        <v>19</v>
      </c>
      <c r="N88" s="14">
        <f t="shared" si="30"/>
        <v>2.8983050847457612</v>
      </c>
      <c r="O88" s="24">
        <f t="shared" si="31"/>
        <v>0.94</v>
      </c>
      <c r="P88" s="28">
        <f t="shared" si="32"/>
        <v>22.82</v>
      </c>
      <c r="Q88" s="14">
        <f t="shared" si="33"/>
        <v>19.482372881355936</v>
      </c>
      <c r="R88" s="29">
        <v>40</v>
      </c>
      <c r="S88" s="14">
        <f t="shared" si="26"/>
        <v>6.1016949152542352</v>
      </c>
      <c r="T88" s="14">
        <f t="shared" si="34"/>
        <v>33.898305084745765</v>
      </c>
      <c r="U88" s="14">
        <f t="shared" si="36"/>
        <v>2.7640677966101692</v>
      </c>
      <c r="V88" s="32">
        <f t="shared" si="35"/>
        <v>14.415932203389829</v>
      </c>
      <c r="W88" s="20">
        <f t="shared" si="37"/>
        <v>0.36039830508474574</v>
      </c>
      <c r="X88" s="30">
        <v>40</v>
      </c>
      <c r="Y88" s="19">
        <f t="shared" si="38"/>
        <v>6.1016949152542352</v>
      </c>
      <c r="Z88" s="14">
        <f t="shared" si="39"/>
        <v>33.898305084745765</v>
      </c>
      <c r="AA88" s="30">
        <f t="shared" si="40"/>
        <v>1.6</v>
      </c>
      <c r="AB88" s="31">
        <f t="shared" si="41"/>
        <v>12.81593220338983</v>
      </c>
      <c r="AC88" s="20">
        <f t="shared" si="42"/>
        <v>0.32039830508474576</v>
      </c>
    </row>
    <row r="89" spans="1:29">
      <c r="A89" s="13" t="s">
        <v>169</v>
      </c>
      <c r="B89" s="13" t="s">
        <v>170</v>
      </c>
      <c r="C89" s="13">
        <v>3.165</v>
      </c>
      <c r="D89" s="13" t="s">
        <v>244</v>
      </c>
      <c r="E89" s="13" t="s">
        <v>241</v>
      </c>
      <c r="F89" s="13">
        <v>3</v>
      </c>
      <c r="G89" s="13">
        <v>180</v>
      </c>
      <c r="H89" s="13">
        <v>0.32</v>
      </c>
      <c r="I89" s="25">
        <f t="shared" si="27"/>
        <v>2.88</v>
      </c>
      <c r="J89" s="14">
        <f t="shared" si="28"/>
        <v>0.43932203389830482</v>
      </c>
      <c r="K89" s="13">
        <v>5</v>
      </c>
      <c r="L89" s="14">
        <v>3.8</v>
      </c>
      <c r="M89" s="25">
        <f t="shared" si="29"/>
        <v>19</v>
      </c>
      <c r="N89" s="14">
        <f t="shared" si="30"/>
        <v>2.8983050847457612</v>
      </c>
      <c r="O89" s="24">
        <f t="shared" si="31"/>
        <v>0.94</v>
      </c>
      <c r="P89" s="28">
        <f t="shared" si="32"/>
        <v>22.82</v>
      </c>
      <c r="Q89" s="14">
        <f t="shared" si="33"/>
        <v>19.482372881355936</v>
      </c>
      <c r="R89" s="29">
        <v>40</v>
      </c>
      <c r="S89" s="14">
        <f t="shared" si="26"/>
        <v>6.1016949152542352</v>
      </c>
      <c r="T89" s="14">
        <f t="shared" si="34"/>
        <v>33.898305084745765</v>
      </c>
      <c r="U89" s="14">
        <f t="shared" si="36"/>
        <v>2.7640677966101692</v>
      </c>
      <c r="V89" s="32">
        <f t="shared" si="35"/>
        <v>14.415932203389829</v>
      </c>
      <c r="W89" s="20">
        <f t="shared" si="37"/>
        <v>0.36039830508474574</v>
      </c>
      <c r="X89" s="30">
        <v>40</v>
      </c>
      <c r="Y89" s="19">
        <f t="shared" si="38"/>
        <v>6.1016949152542352</v>
      </c>
      <c r="Z89" s="14">
        <f t="shared" si="39"/>
        <v>33.898305084745765</v>
      </c>
      <c r="AA89" s="30">
        <f t="shared" si="40"/>
        <v>1.6</v>
      </c>
      <c r="AB89" s="31">
        <f t="shared" si="41"/>
        <v>12.81593220338983</v>
      </c>
      <c r="AC89" s="20">
        <f t="shared" si="42"/>
        <v>0.32039830508474576</v>
      </c>
    </row>
    <row r="90" spans="1:29">
      <c r="A90" s="13" t="s">
        <v>163</v>
      </c>
      <c r="B90" s="13" t="s">
        <v>164</v>
      </c>
      <c r="C90" s="13">
        <v>3.165</v>
      </c>
      <c r="D90" s="13" t="s">
        <v>239</v>
      </c>
      <c r="E90" s="13" t="s">
        <v>241</v>
      </c>
      <c r="F90" s="13">
        <v>3</v>
      </c>
      <c r="G90" s="13">
        <v>180</v>
      </c>
      <c r="H90" s="13">
        <v>0.32</v>
      </c>
      <c r="I90" s="25">
        <f t="shared" si="27"/>
        <v>2.88</v>
      </c>
      <c r="J90" s="14">
        <f t="shared" si="28"/>
        <v>0.43932203389830482</v>
      </c>
      <c r="K90" s="13">
        <v>5</v>
      </c>
      <c r="L90" s="14">
        <v>3.8</v>
      </c>
      <c r="M90" s="25">
        <f t="shared" si="29"/>
        <v>19</v>
      </c>
      <c r="N90" s="14">
        <f t="shared" si="30"/>
        <v>2.8983050847457612</v>
      </c>
      <c r="O90" s="24">
        <f t="shared" si="31"/>
        <v>0.94</v>
      </c>
      <c r="P90" s="28">
        <f t="shared" si="32"/>
        <v>22.82</v>
      </c>
      <c r="Q90" s="14">
        <f t="shared" si="33"/>
        <v>19.482372881355936</v>
      </c>
      <c r="R90" s="29">
        <v>40</v>
      </c>
      <c r="S90" s="14">
        <f t="shared" si="26"/>
        <v>6.1016949152542352</v>
      </c>
      <c r="T90" s="14">
        <f t="shared" si="34"/>
        <v>33.898305084745765</v>
      </c>
      <c r="U90" s="14">
        <f t="shared" si="36"/>
        <v>2.7640677966101692</v>
      </c>
      <c r="V90" s="32">
        <f t="shared" si="35"/>
        <v>14.415932203389829</v>
      </c>
      <c r="W90" s="20">
        <f t="shared" si="37"/>
        <v>0.36039830508474574</v>
      </c>
      <c r="X90" s="30">
        <v>40</v>
      </c>
      <c r="Y90" s="19">
        <f t="shared" si="38"/>
        <v>6.1016949152542352</v>
      </c>
      <c r="Z90" s="14">
        <f t="shared" si="39"/>
        <v>33.898305084745765</v>
      </c>
      <c r="AA90" s="30">
        <f t="shared" si="40"/>
        <v>1.6</v>
      </c>
      <c r="AB90" s="31">
        <f t="shared" si="41"/>
        <v>12.81593220338983</v>
      </c>
      <c r="AC90" s="20">
        <f t="shared" si="42"/>
        <v>0.32039830508474576</v>
      </c>
    </row>
    <row r="91" spans="1:29">
      <c r="A91" s="13" t="s">
        <v>145</v>
      </c>
      <c r="B91" s="13" t="s">
        <v>146</v>
      </c>
      <c r="C91" s="13">
        <v>3.165</v>
      </c>
      <c r="D91" s="13" t="s">
        <v>239</v>
      </c>
      <c r="E91" s="13" t="s">
        <v>241</v>
      </c>
      <c r="F91" s="13">
        <v>3</v>
      </c>
      <c r="G91" s="13">
        <v>180</v>
      </c>
      <c r="H91" s="13">
        <v>0.32</v>
      </c>
      <c r="I91" s="25">
        <f t="shared" si="27"/>
        <v>2.88</v>
      </c>
      <c r="J91" s="14">
        <f t="shared" si="28"/>
        <v>0.43932203389830482</v>
      </c>
      <c r="K91" s="13">
        <v>5</v>
      </c>
      <c r="L91" s="14">
        <v>3.8</v>
      </c>
      <c r="M91" s="25">
        <f t="shared" si="29"/>
        <v>19</v>
      </c>
      <c r="N91" s="14">
        <f t="shared" si="30"/>
        <v>2.8983050847457612</v>
      </c>
      <c r="O91" s="24">
        <f t="shared" si="31"/>
        <v>0.94</v>
      </c>
      <c r="P91" s="28">
        <f t="shared" si="32"/>
        <v>22.82</v>
      </c>
      <c r="Q91" s="14">
        <f t="shared" si="33"/>
        <v>19.482372881355936</v>
      </c>
      <c r="R91" s="29">
        <v>40</v>
      </c>
      <c r="S91" s="14">
        <f t="shared" si="26"/>
        <v>6.1016949152542352</v>
      </c>
      <c r="T91" s="14">
        <f t="shared" si="34"/>
        <v>33.898305084745765</v>
      </c>
      <c r="U91" s="14">
        <f t="shared" si="36"/>
        <v>2.7640677966101692</v>
      </c>
      <c r="V91" s="32">
        <f t="shared" si="35"/>
        <v>14.415932203389829</v>
      </c>
      <c r="W91" s="20">
        <f t="shared" si="37"/>
        <v>0.36039830508474574</v>
      </c>
      <c r="X91" s="30">
        <v>40</v>
      </c>
      <c r="Y91" s="19">
        <f t="shared" si="38"/>
        <v>6.1016949152542352</v>
      </c>
      <c r="Z91" s="14">
        <f t="shared" si="39"/>
        <v>33.898305084745765</v>
      </c>
      <c r="AA91" s="30">
        <f t="shared" si="40"/>
        <v>1.6</v>
      </c>
      <c r="AB91" s="31">
        <f t="shared" si="41"/>
        <v>12.81593220338983</v>
      </c>
      <c r="AC91" s="20">
        <f t="shared" si="42"/>
        <v>0.32039830508474576</v>
      </c>
    </row>
    <row r="92" spans="1:29">
      <c r="A92" s="13" t="s">
        <v>155</v>
      </c>
      <c r="B92" s="13" t="s">
        <v>156</v>
      </c>
      <c r="C92" s="13">
        <v>3.165</v>
      </c>
      <c r="D92" s="13" t="s">
        <v>239</v>
      </c>
      <c r="E92" s="13" t="s">
        <v>241</v>
      </c>
      <c r="F92" s="13">
        <v>3</v>
      </c>
      <c r="G92" s="13">
        <v>180</v>
      </c>
      <c r="H92" s="13">
        <v>0.32</v>
      </c>
      <c r="I92" s="25">
        <f t="shared" si="27"/>
        <v>2.88</v>
      </c>
      <c r="J92" s="14">
        <f t="shared" si="28"/>
        <v>0.43932203389830482</v>
      </c>
      <c r="K92" s="13">
        <v>5</v>
      </c>
      <c r="L92" s="14">
        <v>3.8</v>
      </c>
      <c r="M92" s="25">
        <f t="shared" si="29"/>
        <v>19</v>
      </c>
      <c r="N92" s="14">
        <f t="shared" si="30"/>
        <v>2.8983050847457612</v>
      </c>
      <c r="O92" s="24">
        <f t="shared" si="31"/>
        <v>0.94</v>
      </c>
      <c r="P92" s="28">
        <f t="shared" si="32"/>
        <v>22.82</v>
      </c>
      <c r="Q92" s="14">
        <f t="shared" si="33"/>
        <v>19.482372881355936</v>
      </c>
      <c r="R92" s="29">
        <v>40</v>
      </c>
      <c r="S92" s="14">
        <f t="shared" ref="S92:S101" si="43">R92-R92/1.18</f>
        <v>6.1016949152542352</v>
      </c>
      <c r="T92" s="14">
        <f t="shared" si="34"/>
        <v>33.898305084745765</v>
      </c>
      <c r="U92" s="14">
        <f t="shared" si="36"/>
        <v>2.7640677966101692</v>
      </c>
      <c r="V92" s="32">
        <f t="shared" si="35"/>
        <v>14.415932203389829</v>
      </c>
      <c r="W92" s="20">
        <f t="shared" si="37"/>
        <v>0.36039830508474574</v>
      </c>
      <c r="X92" s="30">
        <v>32</v>
      </c>
      <c r="Y92" s="19">
        <f t="shared" si="38"/>
        <v>4.8813559322033875</v>
      </c>
      <c r="Z92" s="14">
        <f t="shared" si="39"/>
        <v>27.118644067796613</v>
      </c>
      <c r="AA92" s="30">
        <f t="shared" si="40"/>
        <v>1.28</v>
      </c>
      <c r="AB92" s="31">
        <f t="shared" si="41"/>
        <v>6.3562711864406767</v>
      </c>
      <c r="AC92" s="20">
        <f t="shared" si="42"/>
        <v>0.19863347457627115</v>
      </c>
    </row>
    <row r="93" spans="1:29">
      <c r="A93" s="13" t="s">
        <v>147</v>
      </c>
      <c r="B93" s="13" t="s">
        <v>148</v>
      </c>
      <c r="C93" s="13">
        <v>2.1</v>
      </c>
      <c r="D93" s="13" t="s">
        <v>243</v>
      </c>
      <c r="E93" s="13" t="s">
        <v>230</v>
      </c>
      <c r="F93" s="13">
        <v>3</v>
      </c>
      <c r="G93" s="13">
        <v>180</v>
      </c>
      <c r="H93" s="13">
        <v>0.32</v>
      </c>
      <c r="I93" s="25">
        <f t="shared" si="27"/>
        <v>2.88</v>
      </c>
      <c r="J93" s="14">
        <f t="shared" si="28"/>
        <v>0.43932203389830482</v>
      </c>
      <c r="K93" s="13">
        <v>6.65</v>
      </c>
      <c r="L93" s="14">
        <v>2.52</v>
      </c>
      <c r="M93" s="25">
        <f t="shared" si="29"/>
        <v>16.760000000000002</v>
      </c>
      <c r="N93" s="14">
        <f t="shared" si="30"/>
        <v>2.5566101694915258</v>
      </c>
      <c r="O93" s="24">
        <f t="shared" si="31"/>
        <v>0.94</v>
      </c>
      <c r="P93" s="28">
        <f t="shared" si="32"/>
        <v>20.58</v>
      </c>
      <c r="Q93" s="14">
        <f t="shared" si="33"/>
        <v>17.584067796610167</v>
      </c>
      <c r="R93" s="29">
        <v>35</v>
      </c>
      <c r="S93" s="14">
        <f t="shared" si="43"/>
        <v>5.3389830508474567</v>
      </c>
      <c r="T93" s="14">
        <f t="shared" si="34"/>
        <v>29.661016949152543</v>
      </c>
      <c r="U93" s="14">
        <f t="shared" si="36"/>
        <v>2.3430508474576262</v>
      </c>
      <c r="V93" s="32">
        <f t="shared" si="35"/>
        <v>12.076949152542376</v>
      </c>
      <c r="W93" s="20">
        <f t="shared" si="37"/>
        <v>0.34505569007263931</v>
      </c>
      <c r="X93" s="30">
        <v>35</v>
      </c>
      <c r="Y93" s="19">
        <f t="shared" si="38"/>
        <v>5.3389830508474567</v>
      </c>
      <c r="Z93" s="14">
        <f t="shared" si="39"/>
        <v>29.661016949152543</v>
      </c>
      <c r="AA93" s="30">
        <f t="shared" si="40"/>
        <v>1.4000000000000001</v>
      </c>
      <c r="AB93" s="31">
        <f t="shared" si="41"/>
        <v>10.676949152542376</v>
      </c>
      <c r="AC93" s="20">
        <f t="shared" si="42"/>
        <v>0.30505569007263933</v>
      </c>
    </row>
    <row r="94" spans="1:29">
      <c r="A94" s="13" t="s">
        <v>165</v>
      </c>
      <c r="B94" s="13" t="s">
        <v>166</v>
      </c>
      <c r="C94" s="13">
        <v>2.1</v>
      </c>
      <c r="D94" s="13" t="s">
        <v>243</v>
      </c>
      <c r="E94" s="13" t="s">
        <v>230</v>
      </c>
      <c r="F94" s="13">
        <v>3</v>
      </c>
      <c r="G94" s="13">
        <v>180</v>
      </c>
      <c r="H94" s="13">
        <v>0.32</v>
      </c>
      <c r="I94" s="25">
        <f t="shared" si="27"/>
        <v>2.88</v>
      </c>
      <c r="J94" s="14">
        <f t="shared" si="28"/>
        <v>0.43932203389830482</v>
      </c>
      <c r="K94" s="13">
        <v>6.65</v>
      </c>
      <c r="L94" s="14">
        <v>2.52</v>
      </c>
      <c r="M94" s="25">
        <f t="shared" si="29"/>
        <v>16.760000000000002</v>
      </c>
      <c r="N94" s="14">
        <f t="shared" si="30"/>
        <v>2.5566101694915258</v>
      </c>
      <c r="O94" s="24">
        <f t="shared" si="31"/>
        <v>0.94</v>
      </c>
      <c r="P94" s="28">
        <f t="shared" si="32"/>
        <v>20.58</v>
      </c>
      <c r="Q94" s="14">
        <f t="shared" si="33"/>
        <v>17.584067796610167</v>
      </c>
      <c r="R94" s="29">
        <v>35</v>
      </c>
      <c r="S94" s="14">
        <f t="shared" si="43"/>
        <v>5.3389830508474567</v>
      </c>
      <c r="T94" s="14">
        <f t="shared" si="34"/>
        <v>29.661016949152543</v>
      </c>
      <c r="U94" s="14">
        <f t="shared" si="36"/>
        <v>2.3430508474576262</v>
      </c>
      <c r="V94" s="32">
        <f t="shared" si="35"/>
        <v>12.076949152542376</v>
      </c>
      <c r="W94" s="20">
        <f t="shared" si="37"/>
        <v>0.34505569007263931</v>
      </c>
      <c r="X94" s="30">
        <v>35</v>
      </c>
      <c r="Y94" s="19">
        <f t="shared" si="38"/>
        <v>5.3389830508474567</v>
      </c>
      <c r="Z94" s="14">
        <f t="shared" si="39"/>
        <v>29.661016949152543</v>
      </c>
      <c r="AA94" s="30">
        <f t="shared" si="40"/>
        <v>1.4000000000000001</v>
      </c>
      <c r="AB94" s="31">
        <f t="shared" si="41"/>
        <v>10.676949152542376</v>
      </c>
      <c r="AC94" s="20">
        <f t="shared" si="42"/>
        <v>0.30505569007263933</v>
      </c>
    </row>
    <row r="95" spans="1:29">
      <c r="A95" s="13" t="s">
        <v>159</v>
      </c>
      <c r="B95" s="13" t="s">
        <v>160</v>
      </c>
      <c r="C95" s="13">
        <v>2.1</v>
      </c>
      <c r="D95" s="13" t="s">
        <v>239</v>
      </c>
      <c r="E95" s="13" t="s">
        <v>230</v>
      </c>
      <c r="F95" s="13">
        <v>3</v>
      </c>
      <c r="G95" s="13">
        <v>180</v>
      </c>
      <c r="H95" s="13">
        <v>0.32</v>
      </c>
      <c r="I95" s="25">
        <f t="shared" si="27"/>
        <v>2.88</v>
      </c>
      <c r="J95" s="14">
        <f t="shared" si="28"/>
        <v>0.43932203389830482</v>
      </c>
      <c r="K95" s="13">
        <v>5</v>
      </c>
      <c r="L95" s="14">
        <v>2.52</v>
      </c>
      <c r="M95" s="25">
        <f t="shared" si="29"/>
        <v>12.6</v>
      </c>
      <c r="N95" s="14">
        <f t="shared" si="30"/>
        <v>1.9220338983050844</v>
      </c>
      <c r="O95" s="24">
        <f t="shared" si="31"/>
        <v>0.94</v>
      </c>
      <c r="P95" s="28">
        <f t="shared" si="32"/>
        <v>16.420000000000002</v>
      </c>
      <c r="Q95" s="14">
        <f t="shared" si="33"/>
        <v>14.058644067796612</v>
      </c>
      <c r="R95" s="29">
        <v>35</v>
      </c>
      <c r="S95" s="14">
        <f t="shared" si="43"/>
        <v>5.3389830508474567</v>
      </c>
      <c r="T95" s="14">
        <f t="shared" si="34"/>
        <v>29.661016949152543</v>
      </c>
      <c r="U95" s="14">
        <f t="shared" si="36"/>
        <v>2.9776271186440675</v>
      </c>
      <c r="V95" s="32">
        <f t="shared" si="35"/>
        <v>15.602372881355931</v>
      </c>
      <c r="W95" s="20">
        <f t="shared" si="37"/>
        <v>0.44578208232445515</v>
      </c>
      <c r="X95" s="30">
        <v>35</v>
      </c>
      <c r="Y95" s="19">
        <f t="shared" si="38"/>
        <v>5.3389830508474567</v>
      </c>
      <c r="Z95" s="14">
        <f t="shared" si="39"/>
        <v>29.661016949152543</v>
      </c>
      <c r="AA95" s="30">
        <f t="shared" si="40"/>
        <v>1.4000000000000001</v>
      </c>
      <c r="AB95" s="31">
        <f t="shared" si="41"/>
        <v>14.202372881355931</v>
      </c>
      <c r="AC95" s="20">
        <f t="shared" si="42"/>
        <v>0.40578208232445517</v>
      </c>
    </row>
    <row r="96" spans="1:29">
      <c r="A96" s="13" t="s">
        <v>141</v>
      </c>
      <c r="B96" s="13" t="s">
        <v>142</v>
      </c>
      <c r="C96" s="13">
        <v>2.1</v>
      </c>
      <c r="D96" s="13" t="s">
        <v>239</v>
      </c>
      <c r="E96" s="13" t="s">
        <v>230</v>
      </c>
      <c r="F96" s="13">
        <v>3</v>
      </c>
      <c r="G96" s="13">
        <v>180</v>
      </c>
      <c r="H96" s="13">
        <v>0.32</v>
      </c>
      <c r="I96" s="25">
        <f t="shared" si="27"/>
        <v>2.88</v>
      </c>
      <c r="J96" s="14">
        <f t="shared" si="28"/>
        <v>0.43932203389830482</v>
      </c>
      <c r="K96" s="13">
        <v>5</v>
      </c>
      <c r="L96" s="14">
        <v>2.52</v>
      </c>
      <c r="M96" s="25">
        <f t="shared" si="29"/>
        <v>12.6</v>
      </c>
      <c r="N96" s="14">
        <f t="shared" si="30"/>
        <v>1.9220338983050844</v>
      </c>
      <c r="O96" s="24">
        <f t="shared" si="31"/>
        <v>0.94</v>
      </c>
      <c r="P96" s="28">
        <f t="shared" si="32"/>
        <v>16.420000000000002</v>
      </c>
      <c r="Q96" s="14">
        <f t="shared" si="33"/>
        <v>14.058644067796612</v>
      </c>
      <c r="R96" s="29">
        <v>35</v>
      </c>
      <c r="S96" s="14">
        <f t="shared" si="43"/>
        <v>5.3389830508474567</v>
      </c>
      <c r="T96" s="14">
        <f t="shared" si="34"/>
        <v>29.661016949152543</v>
      </c>
      <c r="U96" s="14">
        <f t="shared" si="36"/>
        <v>2.9776271186440675</v>
      </c>
      <c r="V96" s="32">
        <f t="shared" si="35"/>
        <v>15.602372881355931</v>
      </c>
      <c r="W96" s="20">
        <f t="shared" si="37"/>
        <v>0.44578208232445515</v>
      </c>
      <c r="X96" s="30">
        <v>35</v>
      </c>
      <c r="Y96" s="19">
        <f t="shared" si="38"/>
        <v>5.3389830508474567</v>
      </c>
      <c r="Z96" s="14">
        <f t="shared" si="39"/>
        <v>29.661016949152543</v>
      </c>
      <c r="AA96" s="30">
        <f t="shared" si="40"/>
        <v>1.4000000000000001</v>
      </c>
      <c r="AB96" s="31">
        <f t="shared" si="41"/>
        <v>14.202372881355931</v>
      </c>
      <c r="AC96" s="20">
        <f t="shared" si="42"/>
        <v>0.40578208232445517</v>
      </c>
    </row>
    <row r="97" spans="1:29">
      <c r="A97" s="13" t="s">
        <v>209</v>
      </c>
      <c r="B97" s="13" t="s">
        <v>210</v>
      </c>
      <c r="C97" s="13">
        <v>1.43</v>
      </c>
      <c r="D97" s="13" t="s">
        <v>245</v>
      </c>
      <c r="E97" s="13" t="s">
        <v>230</v>
      </c>
      <c r="F97" s="13">
        <v>1.7</v>
      </c>
      <c r="G97" s="13">
        <v>180</v>
      </c>
      <c r="H97" s="13">
        <v>0.32</v>
      </c>
      <c r="I97" s="25">
        <f t="shared" si="27"/>
        <v>1.63</v>
      </c>
      <c r="J97" s="14">
        <f t="shared" si="28"/>
        <v>0.24864406779661019</v>
      </c>
      <c r="K97" s="13">
        <v>3.5</v>
      </c>
      <c r="L97" s="14">
        <v>1.72</v>
      </c>
      <c r="M97" s="25">
        <f t="shared" si="29"/>
        <v>6.02</v>
      </c>
      <c r="N97" s="14">
        <f t="shared" si="30"/>
        <v>0.91830508474576256</v>
      </c>
      <c r="O97" s="24">
        <f t="shared" si="31"/>
        <v>0.53</v>
      </c>
      <c r="P97" s="28">
        <f t="shared" si="32"/>
        <v>8.18</v>
      </c>
      <c r="Q97" s="14">
        <f t="shared" si="33"/>
        <v>7.0130508474576274</v>
      </c>
      <c r="R97" s="29">
        <v>15</v>
      </c>
      <c r="S97" s="14">
        <f t="shared" si="43"/>
        <v>2.2881355932203391</v>
      </c>
      <c r="T97" s="14">
        <f t="shared" si="34"/>
        <v>12.711864406779661</v>
      </c>
      <c r="U97" s="14">
        <f t="shared" si="36"/>
        <v>1.1211864406779664</v>
      </c>
      <c r="V97" s="32">
        <f t="shared" si="35"/>
        <v>5.6988135593220335</v>
      </c>
      <c r="W97" s="20">
        <f t="shared" si="37"/>
        <v>0.37992090395480221</v>
      </c>
      <c r="X97" s="30">
        <v>15</v>
      </c>
      <c r="Y97" s="19">
        <f t="shared" si="38"/>
        <v>2.2881355932203391</v>
      </c>
      <c r="Z97" s="14">
        <f t="shared" si="39"/>
        <v>12.711864406779661</v>
      </c>
      <c r="AA97" s="30">
        <f t="shared" si="40"/>
        <v>0.6</v>
      </c>
      <c r="AB97" s="31">
        <f t="shared" si="41"/>
        <v>5.0988135593220338</v>
      </c>
      <c r="AC97" s="20">
        <f t="shared" si="42"/>
        <v>0.33992090395480223</v>
      </c>
    </row>
    <row r="98" spans="1:29">
      <c r="A98" s="13" t="s">
        <v>137</v>
      </c>
      <c r="B98" s="13" t="s">
        <v>138</v>
      </c>
      <c r="C98" s="13">
        <v>0.52500000000000002</v>
      </c>
      <c r="D98" s="13" t="s">
        <v>226</v>
      </c>
      <c r="E98" s="13" t="s">
        <v>227</v>
      </c>
      <c r="F98" s="13">
        <v>1.7</v>
      </c>
      <c r="G98" s="13">
        <v>120</v>
      </c>
      <c r="H98" s="13">
        <v>0.32</v>
      </c>
      <c r="I98" s="25">
        <f t="shared" si="27"/>
        <v>1.0900000000000001</v>
      </c>
      <c r="J98" s="14">
        <f t="shared" si="28"/>
        <v>0.16627118644067795</v>
      </c>
      <c r="K98" s="13">
        <v>3.5</v>
      </c>
      <c r="L98" s="14">
        <v>0.63</v>
      </c>
      <c r="M98" s="25">
        <f t="shared" si="29"/>
        <v>2.21</v>
      </c>
      <c r="N98" s="14">
        <f t="shared" si="30"/>
        <v>0.33711864406779646</v>
      </c>
      <c r="O98" s="24">
        <f t="shared" si="31"/>
        <v>0.53</v>
      </c>
      <c r="P98" s="28">
        <f t="shared" si="32"/>
        <v>3.83</v>
      </c>
      <c r="Q98" s="14">
        <f t="shared" si="33"/>
        <v>3.3266101694915253</v>
      </c>
      <c r="R98" s="29">
        <v>10</v>
      </c>
      <c r="S98" s="14">
        <f t="shared" si="43"/>
        <v>1.5254237288135588</v>
      </c>
      <c r="T98" s="14">
        <f t="shared" si="34"/>
        <v>8.4745762711864412</v>
      </c>
      <c r="U98" s="14">
        <f t="shared" si="36"/>
        <v>1.0220338983050845</v>
      </c>
      <c r="V98" s="32">
        <f t="shared" si="35"/>
        <v>5.1479661016949159</v>
      </c>
      <c r="W98" s="20">
        <f t="shared" ref="W98:W101" si="44">V98/R98</f>
        <v>0.51479661016949163</v>
      </c>
      <c r="X98" s="30">
        <v>10</v>
      </c>
      <c r="Y98" s="19">
        <f t="shared" ref="Y98:Y101" si="45">X98-Z98</f>
        <v>1.5254237288135588</v>
      </c>
      <c r="Z98" s="14">
        <f t="shared" si="39"/>
        <v>8.4745762711864412</v>
      </c>
      <c r="AA98" s="30">
        <f t="shared" si="40"/>
        <v>0.4</v>
      </c>
      <c r="AB98" s="31">
        <f t="shared" ref="AB98:AB101" si="46">Z98-Q98-AA98</f>
        <v>4.7479661016949155</v>
      </c>
      <c r="AC98" s="20">
        <f t="shared" ref="AC98:AC101" si="47">AB98/X98</f>
        <v>0.47479661016949154</v>
      </c>
    </row>
    <row r="99" spans="1:29">
      <c r="A99" s="13" t="s">
        <v>139</v>
      </c>
      <c r="B99" s="13" t="s">
        <v>140</v>
      </c>
      <c r="C99" s="13">
        <v>0.52500000000000002</v>
      </c>
      <c r="D99" s="13" t="s">
        <v>226</v>
      </c>
      <c r="E99" s="13" t="s">
        <v>227</v>
      </c>
      <c r="F99" s="13">
        <v>1.7</v>
      </c>
      <c r="G99" s="13">
        <v>120</v>
      </c>
      <c r="H99" s="13">
        <v>0.32</v>
      </c>
      <c r="I99" s="25">
        <f t="shared" si="27"/>
        <v>1.0900000000000001</v>
      </c>
      <c r="J99" s="14">
        <f t="shared" si="28"/>
        <v>0.16627118644067795</v>
      </c>
      <c r="K99" s="13">
        <v>3.5</v>
      </c>
      <c r="L99" s="14">
        <v>0.63</v>
      </c>
      <c r="M99" s="25">
        <f t="shared" si="29"/>
        <v>2.21</v>
      </c>
      <c r="N99" s="14">
        <f t="shared" si="30"/>
        <v>0.33711864406779646</v>
      </c>
      <c r="O99" s="24">
        <f t="shared" si="31"/>
        <v>0.53</v>
      </c>
      <c r="P99" s="28">
        <f t="shared" si="32"/>
        <v>3.83</v>
      </c>
      <c r="Q99" s="14">
        <f t="shared" si="33"/>
        <v>3.3266101694915253</v>
      </c>
      <c r="R99" s="29">
        <v>10</v>
      </c>
      <c r="S99" s="14">
        <f t="shared" si="43"/>
        <v>1.5254237288135588</v>
      </c>
      <c r="T99" s="14">
        <f t="shared" si="34"/>
        <v>8.4745762711864412</v>
      </c>
      <c r="U99" s="14">
        <f t="shared" si="36"/>
        <v>1.0220338983050845</v>
      </c>
      <c r="V99" s="32">
        <f t="shared" si="35"/>
        <v>5.1479661016949159</v>
      </c>
      <c r="W99" s="20">
        <f t="shared" si="44"/>
        <v>0.51479661016949163</v>
      </c>
      <c r="X99" s="30">
        <v>10</v>
      </c>
      <c r="Y99" s="19">
        <f t="shared" si="45"/>
        <v>1.5254237288135588</v>
      </c>
      <c r="Z99" s="14">
        <f t="shared" si="39"/>
        <v>8.4745762711864412</v>
      </c>
      <c r="AA99" s="30">
        <f t="shared" si="40"/>
        <v>0.4</v>
      </c>
      <c r="AB99" s="31">
        <f t="shared" si="46"/>
        <v>4.7479661016949155</v>
      </c>
      <c r="AC99" s="20">
        <f t="shared" si="47"/>
        <v>0.47479661016949154</v>
      </c>
    </row>
    <row r="100" spans="1:29">
      <c r="A100" s="21" t="s">
        <v>135</v>
      </c>
      <c r="B100" s="21" t="s">
        <v>136</v>
      </c>
      <c r="C100" s="21">
        <v>0.41599999999999998</v>
      </c>
      <c r="D100" s="21" t="s">
        <v>246</v>
      </c>
      <c r="E100" s="21" t="s">
        <v>230</v>
      </c>
      <c r="F100" s="21">
        <v>0.75</v>
      </c>
      <c r="G100" s="21">
        <v>180</v>
      </c>
      <c r="H100" s="21">
        <v>0.32</v>
      </c>
      <c r="I100" s="22">
        <f t="shared" si="27"/>
        <v>0.72</v>
      </c>
      <c r="J100" s="22">
        <f t="shared" si="28"/>
        <v>0.10983050847457621</v>
      </c>
      <c r="K100" s="21">
        <v>3.5</v>
      </c>
      <c r="L100" s="22">
        <v>0.5</v>
      </c>
      <c r="M100" s="22">
        <f t="shared" si="29"/>
        <v>1.75</v>
      </c>
      <c r="N100" s="22">
        <f t="shared" si="30"/>
        <v>0.26694915254237284</v>
      </c>
      <c r="O100" s="21">
        <f t="shared" si="31"/>
        <v>0.23</v>
      </c>
      <c r="P100" s="22">
        <f t="shared" si="32"/>
        <v>2.7</v>
      </c>
      <c r="Q100" s="22">
        <f t="shared" si="33"/>
        <v>2.323220338983051</v>
      </c>
      <c r="R100" s="22">
        <v>3</v>
      </c>
      <c r="S100" s="22">
        <f t="shared" si="43"/>
        <v>0.45762711864406747</v>
      </c>
      <c r="T100" s="22">
        <f t="shared" si="34"/>
        <v>2.5423728813559325</v>
      </c>
      <c r="U100" s="22">
        <f t="shared" si="36"/>
        <v>8.0847457627118424E-2</v>
      </c>
      <c r="V100" s="22">
        <f t="shared" si="35"/>
        <v>0.21915254237288151</v>
      </c>
      <c r="W100" s="26">
        <f t="shared" si="44"/>
        <v>7.3050847457627174E-2</v>
      </c>
      <c r="X100" s="22">
        <v>3</v>
      </c>
      <c r="Y100" s="22">
        <f t="shared" si="45"/>
        <v>0.45762711864406747</v>
      </c>
      <c r="Z100" s="22">
        <f t="shared" si="39"/>
        <v>2.5423728813559325</v>
      </c>
      <c r="AA100" s="22">
        <f t="shared" si="40"/>
        <v>0.12</v>
      </c>
      <c r="AB100" s="27">
        <f t="shared" si="46"/>
        <v>9.9152542372881514E-2</v>
      </c>
      <c r="AC100" s="26">
        <f t="shared" si="47"/>
        <v>3.3050847457627174E-2</v>
      </c>
    </row>
    <row r="101" spans="1:29">
      <c r="A101" s="21" t="s">
        <v>203</v>
      </c>
      <c r="B101" s="21" t="s">
        <v>204</v>
      </c>
      <c r="C101" s="21">
        <v>0.41599999999999998</v>
      </c>
      <c r="D101" s="21" t="s">
        <v>246</v>
      </c>
      <c r="E101" s="21" t="s">
        <v>230</v>
      </c>
      <c r="F101" s="21">
        <v>0.75</v>
      </c>
      <c r="G101" s="21">
        <v>180</v>
      </c>
      <c r="H101" s="21">
        <v>0.32</v>
      </c>
      <c r="I101" s="22">
        <f t="shared" si="27"/>
        <v>0.72</v>
      </c>
      <c r="J101" s="22">
        <f t="shared" si="28"/>
        <v>0.10983050847457621</v>
      </c>
      <c r="K101" s="21">
        <v>3.5</v>
      </c>
      <c r="L101" s="22">
        <v>0.5</v>
      </c>
      <c r="M101" s="22">
        <f t="shared" si="29"/>
        <v>1.75</v>
      </c>
      <c r="N101" s="22">
        <f t="shared" si="30"/>
        <v>0.26694915254237284</v>
      </c>
      <c r="O101" s="21">
        <f t="shared" si="31"/>
        <v>0.23</v>
      </c>
      <c r="P101" s="22">
        <f t="shared" si="32"/>
        <v>2.7</v>
      </c>
      <c r="Q101" s="22">
        <f t="shared" si="33"/>
        <v>2.323220338983051</v>
      </c>
      <c r="R101" s="22">
        <v>3</v>
      </c>
      <c r="S101" s="22">
        <f t="shared" si="43"/>
        <v>0.45762711864406747</v>
      </c>
      <c r="T101" s="22">
        <f t="shared" si="34"/>
        <v>2.5423728813559325</v>
      </c>
      <c r="U101" s="22">
        <f t="shared" si="36"/>
        <v>8.0847457627118424E-2</v>
      </c>
      <c r="V101" s="22">
        <f t="shared" si="35"/>
        <v>0.21915254237288151</v>
      </c>
      <c r="W101" s="26">
        <f t="shared" si="44"/>
        <v>7.3050847457627174E-2</v>
      </c>
      <c r="X101" s="22">
        <v>3</v>
      </c>
      <c r="Y101" s="22">
        <f t="shared" si="45"/>
        <v>0.45762711864406747</v>
      </c>
      <c r="Z101" s="22">
        <f t="shared" si="39"/>
        <v>2.5423728813559325</v>
      </c>
      <c r="AA101" s="22">
        <f t="shared" si="40"/>
        <v>0.12</v>
      </c>
      <c r="AB101" s="27">
        <f t="shared" si="46"/>
        <v>9.9152542372881514E-2</v>
      </c>
      <c r="AC101" s="26">
        <f t="shared" si="47"/>
        <v>3.3050847457627174E-2</v>
      </c>
    </row>
    <row r="102" spans="1:29">
      <c r="A102" s="37"/>
      <c r="B102" s="37"/>
      <c r="R102" s="38"/>
      <c r="S102" s="15"/>
      <c r="T102" s="15"/>
    </row>
  </sheetData>
  <autoFilter ref="A1:AC10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4"/>
  <sheetViews>
    <sheetView zoomScale="70" zoomScaleNormal="70" workbookViewId="0">
      <pane xSplit="3" ySplit="1" topLeftCell="D35" activePane="bottomRight" state="frozen"/>
      <selection pane="topRight" activeCell="D1" sqref="D1"/>
      <selection pane="bottomLeft" activeCell="A2" sqref="A2"/>
      <selection pane="bottomRight" activeCell="S46" sqref="S46"/>
    </sheetView>
  </sheetViews>
  <sheetFormatPr defaultColWidth="30.5703125" defaultRowHeight="15"/>
  <cols>
    <col min="1" max="1" width="6.28515625" bestFit="1" customWidth="1"/>
    <col min="2" max="2" width="39.140625" bestFit="1" customWidth="1"/>
    <col min="3" max="3" width="18.85546875" hidden="1" customWidth="1"/>
    <col min="4" max="4" width="33.85546875" bestFit="1" customWidth="1"/>
    <col min="5" max="5" width="15.85546875" bestFit="1" customWidth="1"/>
    <col min="6" max="6" width="24.85546875" bestFit="1" customWidth="1"/>
    <col min="7" max="7" width="24.85546875" customWidth="1"/>
    <col min="8" max="8" width="26.7109375" customWidth="1"/>
    <col min="9" max="9" width="19.7109375" bestFit="1" customWidth="1"/>
    <col min="10" max="10" width="12.42578125" bestFit="1" customWidth="1"/>
    <col min="11" max="12" width="10.140625" bestFit="1" customWidth="1"/>
    <col min="13" max="13" width="10.5703125" bestFit="1" customWidth="1"/>
    <col min="14" max="14" width="21.42578125" bestFit="1" customWidth="1"/>
    <col min="15" max="15" width="17.140625" bestFit="1" customWidth="1"/>
    <col min="16" max="16" width="23" bestFit="1" customWidth="1"/>
    <col min="17" max="17" width="18.5703125" bestFit="1" customWidth="1"/>
    <col min="18" max="18" width="27.7109375" bestFit="1" customWidth="1"/>
    <col min="19" max="19" width="26.28515625" bestFit="1" customWidth="1"/>
    <col min="20" max="20" width="10.140625" bestFit="1" customWidth="1"/>
    <col min="21" max="21" width="31.140625" bestFit="1" customWidth="1"/>
    <col min="22" max="22" width="20.28515625" bestFit="1" customWidth="1"/>
    <col min="23" max="23" width="27.42578125" bestFit="1" customWidth="1"/>
    <col min="24" max="24" width="9.140625" bestFit="1" customWidth="1"/>
    <col min="25" max="25" width="7.7109375" bestFit="1" customWidth="1"/>
  </cols>
  <sheetData>
    <row r="1" spans="1:25" s="11" customFormat="1" ht="45">
      <c r="A1" s="12" t="s">
        <v>263</v>
      </c>
      <c r="B1" s="3" t="s">
        <v>252</v>
      </c>
      <c r="C1" s="3" t="s">
        <v>253</v>
      </c>
      <c r="D1" s="3" t="s">
        <v>254</v>
      </c>
      <c r="E1" s="3" t="s">
        <v>255</v>
      </c>
      <c r="F1" s="3" t="s">
        <v>256</v>
      </c>
      <c r="G1" s="3" t="s">
        <v>270</v>
      </c>
      <c r="H1" s="3" t="s">
        <v>264</v>
      </c>
      <c r="I1" s="3" t="s">
        <v>257</v>
      </c>
      <c r="J1" s="3" t="s">
        <v>265</v>
      </c>
      <c r="K1" s="6" t="s">
        <v>5</v>
      </c>
      <c r="L1" s="6" t="s">
        <v>2</v>
      </c>
      <c r="M1" s="6" t="s">
        <v>268</v>
      </c>
      <c r="N1" s="2" t="s">
        <v>266</v>
      </c>
      <c r="O1" s="7" t="s">
        <v>247</v>
      </c>
      <c r="P1" s="2" t="s">
        <v>258</v>
      </c>
      <c r="Q1" s="7" t="s">
        <v>259</v>
      </c>
      <c r="R1" s="2" t="s">
        <v>260</v>
      </c>
      <c r="S1" s="7" t="s">
        <v>261</v>
      </c>
      <c r="T1" s="8" t="s">
        <v>269</v>
      </c>
      <c r="U1" s="8" t="s">
        <v>267</v>
      </c>
      <c r="V1" s="9" t="s">
        <v>262</v>
      </c>
      <c r="W1" s="9" t="s">
        <v>268</v>
      </c>
      <c r="X1" s="10" t="s">
        <v>223</v>
      </c>
      <c r="Y1" s="12"/>
    </row>
    <row r="2" spans="1:25">
      <c r="A2" t="s">
        <v>126</v>
      </c>
      <c r="B2" s="13" t="str">
        <f>VLOOKUP(A2,თვითღირებულება!A:AC,2,0)</f>
        <v>ოვალური ვარცლი ლურჯი - L</v>
      </c>
      <c r="C2" s="14">
        <f>VLOOKUP(A2,თვითღირებულება!A:AC,6,0)</f>
        <v>1.7</v>
      </c>
      <c r="D2" s="14">
        <f>VLOOKUP(A2,თვითღირებულება!A:AC,15,0)</f>
        <v>0.53</v>
      </c>
      <c r="E2" s="14">
        <f>VLOOKUP(A2,თვითღირებულება!A:AC,12,0)</f>
        <v>1.25</v>
      </c>
      <c r="F2" s="14">
        <f>VLOOKUP(A2,თვითღირებულება!A:AC,11,0)</f>
        <v>3.5</v>
      </c>
      <c r="G2" s="14">
        <f>E2*F2</f>
        <v>4.375</v>
      </c>
      <c r="H2" s="14">
        <f>VLOOKUP(A2,თვითღირებულება!A:AC,9,0)</f>
        <v>1.0900000000000001</v>
      </c>
      <c r="I2" s="14">
        <f>VLOOKUP(A2,თვითღირებულება!A:AC,16,0)</f>
        <v>6</v>
      </c>
      <c r="J2" s="14">
        <f>VLOOKUP(A2,თვითღირებულება!A:AC,17,0)</f>
        <v>5.1655932203389838</v>
      </c>
      <c r="K2" s="14">
        <v>0</v>
      </c>
      <c r="L2" s="14">
        <f>VLOOKUP(A2,[1]Sheet!$A:$J,10,0)</f>
        <v>6.5</v>
      </c>
      <c r="M2" s="14">
        <f>L2/1.18</f>
        <v>5.5084745762711869</v>
      </c>
      <c r="N2" s="14">
        <f>K2*C2</f>
        <v>0</v>
      </c>
      <c r="O2" s="14">
        <f>K2*H2</f>
        <v>0</v>
      </c>
      <c r="P2" s="14">
        <f>N2/8/60</f>
        <v>0</v>
      </c>
      <c r="Q2" s="14">
        <f>K2*D2</f>
        <v>0</v>
      </c>
      <c r="R2" s="14">
        <f>K2*E2</f>
        <v>0</v>
      </c>
      <c r="S2" s="14">
        <f>K2*E2*F2</f>
        <v>0</v>
      </c>
      <c r="T2" s="14">
        <f>K2*I2</f>
        <v>0</v>
      </c>
      <c r="U2" s="14">
        <f>K2*J2</f>
        <v>0</v>
      </c>
      <c r="V2" s="14">
        <f>K2*L2</f>
        <v>0</v>
      </c>
      <c r="W2" s="14">
        <f>V2/1.18</f>
        <v>0</v>
      </c>
      <c r="X2" s="14">
        <f>W2-U2</f>
        <v>0</v>
      </c>
      <c r="Y2" s="14"/>
    </row>
    <row r="3" spans="1:25">
      <c r="A3" t="s">
        <v>116</v>
      </c>
      <c r="B3" s="13" t="str">
        <f>VLOOKUP(A3,თვითღირებულება!A:AC,2,0)</f>
        <v>ოვალური ვარცლი ლურჯი - M</v>
      </c>
      <c r="C3" s="14">
        <f>VLOOKUP(A3,თვითღირებულება!A:AC,6,0)</f>
        <v>1.7</v>
      </c>
      <c r="D3" s="14">
        <f>VLOOKUP(A3,თვითღირებულება!A:AC,15,0)</f>
        <v>0.53</v>
      </c>
      <c r="E3" s="14">
        <f>VLOOKUP(A3,თვითღირებულება!A:AC,12,0)</f>
        <v>0.9</v>
      </c>
      <c r="F3" s="14">
        <f>VLOOKUP(A3,თვითღირებულება!A:AC,11,0)</f>
        <v>3.5</v>
      </c>
      <c r="G3" s="14">
        <f t="shared" ref="G3:G28" si="0">E3*F3</f>
        <v>3.15</v>
      </c>
      <c r="H3" s="14">
        <f>VLOOKUP(A3,თვითღირებულება!A:AC,9,0)</f>
        <v>1.0900000000000001</v>
      </c>
      <c r="I3" s="14">
        <f>VLOOKUP(A3,თვითღირებულება!A:AC,16,0)</f>
        <v>4.7699999999999996</v>
      </c>
      <c r="J3" s="14">
        <f>VLOOKUP(A3,თვითღირებულება!A:AC,17,0)</f>
        <v>4.1232203389830504</v>
      </c>
      <c r="K3" s="14">
        <f>VLOOKUP(A3,[1]Sheet!$A:$G,7,0)</f>
        <v>46</v>
      </c>
      <c r="L3" s="14">
        <f>VLOOKUP(A3,[1]Sheet!$A:$J,10,0)</f>
        <v>5.95</v>
      </c>
      <c r="M3" s="14">
        <f t="shared" ref="M3:M60" si="1">L3/1.18</f>
        <v>5.0423728813559325</v>
      </c>
      <c r="N3" s="14">
        <f t="shared" ref="N3:N28" si="2">K3*C3</f>
        <v>78.2</v>
      </c>
      <c r="O3" s="14">
        <f t="shared" ref="O3:O28" si="3">K3*H3</f>
        <v>50.14</v>
      </c>
      <c r="P3" s="14">
        <f t="shared" ref="P3:P28" si="4">N3/8/60</f>
        <v>0.16291666666666668</v>
      </c>
      <c r="Q3" s="14">
        <f t="shared" ref="Q3:Q28" si="5">K3*D3</f>
        <v>24.380000000000003</v>
      </c>
      <c r="R3" s="14">
        <f t="shared" ref="R3:R28" si="6">K3*E3</f>
        <v>41.4</v>
      </c>
      <c r="S3" s="14">
        <f t="shared" ref="S3:S28" si="7">K3*E3*F3</f>
        <v>144.9</v>
      </c>
      <c r="T3" s="14">
        <f t="shared" ref="T3:T28" si="8">K3*I3</f>
        <v>219.42</v>
      </c>
      <c r="U3" s="14">
        <f t="shared" ref="U3:U28" si="9">K3*J3</f>
        <v>189.66813559322031</v>
      </c>
      <c r="V3" s="14">
        <f t="shared" ref="V3:V60" si="10">K3*L3</f>
        <v>273.7</v>
      </c>
      <c r="W3" s="14">
        <f t="shared" ref="W3:W60" si="11">V3/1.18</f>
        <v>231.94915254237287</v>
      </c>
      <c r="X3" s="14">
        <f t="shared" ref="X3:X5" si="12">W3-U3</f>
        <v>42.281016949152558</v>
      </c>
      <c r="Y3" s="13"/>
    </row>
    <row r="4" spans="1:25">
      <c r="A4" t="s">
        <v>98</v>
      </c>
      <c r="B4" s="13" t="str">
        <f>VLOOKUP(A4,თვითღირებულება!A:AC,2,0)</f>
        <v>ოვალური ვარცლი ლურჯი - S</v>
      </c>
      <c r="C4" s="14">
        <f>VLOOKUP(A4,თვითღირებულება!A:AC,6,0)</f>
        <v>1.7</v>
      </c>
      <c r="D4" s="14">
        <f>VLOOKUP(A4,თვითღირებულება!A:AC,15,0)</f>
        <v>0.53</v>
      </c>
      <c r="E4" s="14">
        <f>VLOOKUP(A4,თვითღირებულება!A:AC,12,0)</f>
        <v>0.6</v>
      </c>
      <c r="F4" s="14">
        <f>VLOOKUP(A4,თვითღირებულება!A:AC,11,0)</f>
        <v>3.5</v>
      </c>
      <c r="G4" s="14">
        <f t="shared" si="0"/>
        <v>2.1</v>
      </c>
      <c r="H4" s="14">
        <f>VLOOKUP(A4,თვითღირებულება!A:AC,9,0)</f>
        <v>1.0900000000000001</v>
      </c>
      <c r="I4" s="14">
        <f>VLOOKUP(A4,თვითღირებულება!A:AC,16,0)</f>
        <v>3.72</v>
      </c>
      <c r="J4" s="14">
        <f>VLOOKUP(A4,თვითღირებულება!A:AC,17,0)</f>
        <v>3.2333898305084747</v>
      </c>
      <c r="K4" s="14">
        <f>VLOOKUP(A4,[1]Sheet!$A:$G,7,0)</f>
        <v>49</v>
      </c>
      <c r="L4" s="14">
        <f>VLOOKUP(A4,[1]Sheet!$A:$J,10,0)</f>
        <v>5.45</v>
      </c>
      <c r="M4" s="14">
        <f t="shared" si="1"/>
        <v>4.6186440677966107</v>
      </c>
      <c r="N4" s="14">
        <f t="shared" si="2"/>
        <v>83.3</v>
      </c>
      <c r="O4" s="14">
        <f t="shared" si="3"/>
        <v>53.410000000000004</v>
      </c>
      <c r="P4" s="14">
        <f t="shared" si="4"/>
        <v>0.17354166666666665</v>
      </c>
      <c r="Q4" s="14">
        <f t="shared" si="5"/>
        <v>25.970000000000002</v>
      </c>
      <c r="R4" s="14">
        <f t="shared" si="6"/>
        <v>29.4</v>
      </c>
      <c r="S4" s="14">
        <f t="shared" si="7"/>
        <v>102.89999999999999</v>
      </c>
      <c r="T4" s="14">
        <f t="shared" si="8"/>
        <v>182.28</v>
      </c>
      <c r="U4" s="14">
        <f t="shared" si="9"/>
        <v>158.43610169491527</v>
      </c>
      <c r="V4" s="14">
        <f t="shared" si="10"/>
        <v>267.05</v>
      </c>
      <c r="W4" s="14">
        <f t="shared" si="11"/>
        <v>226.31355932203391</v>
      </c>
      <c r="X4" s="14">
        <f t="shared" si="12"/>
        <v>67.877457627118645</v>
      </c>
      <c r="Y4" s="14"/>
    </row>
    <row r="5" spans="1:25">
      <c r="A5" t="s">
        <v>92</v>
      </c>
      <c r="B5" s="13" t="str">
        <f>VLOOKUP(A5,თვითღირებულება!A:AC,2,0)</f>
        <v>მრგვალი ვარცლი ლურჯი - S</v>
      </c>
      <c r="C5" s="14">
        <f>VLOOKUP(A5,თვითღირებულება!A:AC,6,0)</f>
        <v>1.7</v>
      </c>
      <c r="D5" s="14">
        <f>VLOOKUP(A5,თვითღირებულება!A:AC,15,0)</f>
        <v>0.53</v>
      </c>
      <c r="E5" s="14">
        <f>VLOOKUP(A5,თვითღირებულება!A:AC,12,0)</f>
        <v>0.49</v>
      </c>
      <c r="F5" s="14">
        <f>VLOOKUP(A5,თვითღირებულება!A:AC,11,0)</f>
        <v>3.5</v>
      </c>
      <c r="G5" s="14">
        <f t="shared" si="0"/>
        <v>1.7149999999999999</v>
      </c>
      <c r="H5" s="14">
        <f>VLOOKUP(A5,თვითღირებულება!A:AC,9,0)</f>
        <v>0.91</v>
      </c>
      <c r="I5" s="14">
        <f>VLOOKUP(A5,თვითღირებულება!A:AC,16,0)</f>
        <v>3.16</v>
      </c>
      <c r="J5" s="14">
        <f>VLOOKUP(A5,თვითღირებულება!A:AC,17,0)</f>
        <v>2.758813559322034</v>
      </c>
      <c r="K5" s="14">
        <f>VLOOKUP(A5,[1]Sheet!$A:$G,7,0)</f>
        <v>50</v>
      </c>
      <c r="L5" s="14">
        <f>VLOOKUP(A5,[1]Sheet!$A:$J,10,0)</f>
        <v>3.5</v>
      </c>
      <c r="M5" s="14">
        <f t="shared" si="1"/>
        <v>2.9661016949152543</v>
      </c>
      <c r="N5" s="14">
        <f t="shared" si="2"/>
        <v>85</v>
      </c>
      <c r="O5" s="14">
        <f t="shared" si="3"/>
        <v>45.5</v>
      </c>
      <c r="P5" s="14">
        <f t="shared" si="4"/>
        <v>0.17708333333333334</v>
      </c>
      <c r="Q5" s="14">
        <f t="shared" si="5"/>
        <v>26.5</v>
      </c>
      <c r="R5" s="14">
        <f t="shared" si="6"/>
        <v>24.5</v>
      </c>
      <c r="S5" s="14">
        <f t="shared" si="7"/>
        <v>85.75</v>
      </c>
      <c r="T5" s="14">
        <f t="shared" si="8"/>
        <v>158</v>
      </c>
      <c r="U5" s="14">
        <f t="shared" si="9"/>
        <v>137.9406779661017</v>
      </c>
      <c r="V5" s="14">
        <f t="shared" si="10"/>
        <v>175</v>
      </c>
      <c r="W5" s="14">
        <f t="shared" si="11"/>
        <v>148.30508474576271</v>
      </c>
      <c r="X5" s="14">
        <f t="shared" si="12"/>
        <v>10.36440677966101</v>
      </c>
    </row>
    <row r="6" spans="1:25">
      <c r="A6" t="s">
        <v>62</v>
      </c>
      <c r="B6" s="13" t="str">
        <f>VLOOKUP(A6,თვითღირებულება!A:AC,2,0)</f>
        <v>ინდუსტრიული ვარცლი შავი</v>
      </c>
      <c r="C6" s="14">
        <f>VLOOKUP(A6,თვითღირებულება!A:AC,6,0)</f>
        <v>2</v>
      </c>
      <c r="D6" s="14">
        <f>VLOOKUP(A6,თვითღირებულება!A:AC,15,0)</f>
        <v>0.63</v>
      </c>
      <c r="E6" s="14">
        <f>VLOOKUP(A6,თვითღირებულება!A:AC,12,0)</f>
        <v>1.39</v>
      </c>
      <c r="F6" s="14">
        <f>VLOOKUP(A6,თვითღირებულება!A:AC,11,0)</f>
        <v>3.5</v>
      </c>
      <c r="G6" s="14">
        <f t="shared" si="0"/>
        <v>4.8649999999999993</v>
      </c>
      <c r="H6" s="14">
        <f>VLOOKUP(A6,თვითღირებულება!A:AC,9,0)</f>
        <v>1.92</v>
      </c>
      <c r="I6" s="14">
        <f>VLOOKUP(A6,თვითღირებულება!A:AC,16,0)</f>
        <v>7.42</v>
      </c>
      <c r="J6" s="14">
        <f>VLOOKUP(A6,თვითღირებულება!A:AC,17,0)</f>
        <v>6.3842372881355933</v>
      </c>
      <c r="K6" s="14">
        <f>VLOOKUP(A6,[1]Sheet!$A:$G,7,0)</f>
        <v>0</v>
      </c>
      <c r="L6" s="14">
        <f>VLOOKUP(A6,[1]Sheet!$A:$J,10,0)</f>
        <v>12.75</v>
      </c>
      <c r="M6" s="14">
        <f t="shared" si="1"/>
        <v>10.805084745762713</v>
      </c>
      <c r="N6" s="14">
        <f t="shared" si="2"/>
        <v>0</v>
      </c>
      <c r="O6" s="14">
        <f t="shared" si="3"/>
        <v>0</v>
      </c>
      <c r="P6" s="14">
        <f t="shared" si="4"/>
        <v>0</v>
      </c>
      <c r="Q6" s="14">
        <f t="shared" si="5"/>
        <v>0</v>
      </c>
      <c r="R6" s="14">
        <f t="shared" si="6"/>
        <v>0</v>
      </c>
      <c r="S6" s="14">
        <f t="shared" si="7"/>
        <v>0</v>
      </c>
      <c r="T6" s="14">
        <f t="shared" si="8"/>
        <v>0</v>
      </c>
      <c r="U6" s="14">
        <f t="shared" si="9"/>
        <v>0</v>
      </c>
      <c r="V6" s="14">
        <f t="shared" si="10"/>
        <v>0</v>
      </c>
      <c r="W6" s="14">
        <f t="shared" si="11"/>
        <v>0</v>
      </c>
      <c r="X6" s="14">
        <f t="shared" ref="X6:X28" si="13">W6-U6</f>
        <v>0</v>
      </c>
    </row>
    <row r="7" spans="1:25">
      <c r="A7" t="s">
        <v>60</v>
      </c>
      <c r="B7" s="13" t="str">
        <f>VLOOKUP(A7,თვითღირებულება!A:AC,2,0)</f>
        <v>უნივერსალური ვარცლი ლურჯი</v>
      </c>
      <c r="C7" s="14">
        <f>VLOOKUP(A7,თვითღირებულება!A:AC,6,0)</f>
        <v>2</v>
      </c>
      <c r="D7" s="14">
        <f>VLOOKUP(A7,თვითღირებულება!A:AC,15,0)</f>
        <v>0.63</v>
      </c>
      <c r="E7" s="14">
        <f>VLOOKUP(A7,თვითღირებულება!A:AC,12,0)</f>
        <v>1.4</v>
      </c>
      <c r="F7" s="14">
        <f>VLOOKUP(A7,თვითღირებულება!A:AC,11,0)</f>
        <v>3.5</v>
      </c>
      <c r="G7" s="14">
        <f t="shared" si="0"/>
        <v>4.8999999999999995</v>
      </c>
      <c r="H7" s="14">
        <f>VLOOKUP(A7,თვითღირებულება!A:AC,9,0)</f>
        <v>1.92</v>
      </c>
      <c r="I7" s="14">
        <f>VLOOKUP(A7,თვითღირებულება!A:AC,16,0)</f>
        <v>7.45</v>
      </c>
      <c r="J7" s="14">
        <f>VLOOKUP(A7,თვითღირებულება!A:AC,17,0)</f>
        <v>6.409661016949153</v>
      </c>
      <c r="K7" s="14">
        <f>VLOOKUP(A7,[1]Sheet!$A:$G,7,0)</f>
        <v>0</v>
      </c>
      <c r="L7" s="14">
        <f>VLOOKUP(A7,[1]Sheet!$A:$J,10,0)</f>
        <v>8.5</v>
      </c>
      <c r="M7" s="14">
        <f t="shared" si="1"/>
        <v>7.2033898305084749</v>
      </c>
      <c r="N7" s="14">
        <f t="shared" si="2"/>
        <v>0</v>
      </c>
      <c r="O7" s="14">
        <f t="shared" si="3"/>
        <v>0</v>
      </c>
      <c r="P7" s="14">
        <f t="shared" si="4"/>
        <v>0</v>
      </c>
      <c r="Q7" s="14">
        <f t="shared" si="5"/>
        <v>0</v>
      </c>
      <c r="R7" s="14">
        <f t="shared" si="6"/>
        <v>0</v>
      </c>
      <c r="S7" s="14">
        <f t="shared" si="7"/>
        <v>0</v>
      </c>
      <c r="T7" s="14">
        <f t="shared" si="8"/>
        <v>0</v>
      </c>
      <c r="U7" s="14">
        <f t="shared" si="9"/>
        <v>0</v>
      </c>
      <c r="V7" s="14">
        <f t="shared" si="10"/>
        <v>0</v>
      </c>
      <c r="W7" s="14">
        <f t="shared" si="11"/>
        <v>0</v>
      </c>
      <c r="X7" s="14">
        <f t="shared" si="13"/>
        <v>0</v>
      </c>
    </row>
    <row r="8" spans="1:25">
      <c r="A8" t="s">
        <v>58</v>
      </c>
      <c r="B8" s="13" t="str">
        <f>VLOOKUP(A8,თვითღირებულება!A:AC,2,0)</f>
        <v>გობი ერგონომიური სახელურებით ლურჯი - L</v>
      </c>
      <c r="C8" s="14">
        <f>VLOOKUP(A8,თვითღირებულება!A:AC,6,0)</f>
        <v>1.7</v>
      </c>
      <c r="D8" s="14">
        <f>VLOOKUP(A8,თვითღირებულება!A:AC,15,0)</f>
        <v>0.53</v>
      </c>
      <c r="E8" s="14">
        <f>VLOOKUP(A8,თვითღირებულება!A:AC,12,0)</f>
        <v>0.68</v>
      </c>
      <c r="F8" s="14">
        <f>VLOOKUP(A8,თვითღირებულება!A:AC,11,0)</f>
        <v>3.5</v>
      </c>
      <c r="G8" s="14">
        <f t="shared" si="0"/>
        <v>2.3800000000000003</v>
      </c>
      <c r="H8" s="14">
        <f>VLOOKUP(A8,თვითღირებულება!A:AC,9,0)</f>
        <v>0.91</v>
      </c>
      <c r="I8" s="14">
        <f>VLOOKUP(A8,თვითღირებულება!A:AC,16,0)</f>
        <v>3.82</v>
      </c>
      <c r="J8" s="14">
        <f>VLOOKUP(A8,თვითღირებულება!A:AC,17,0)</f>
        <v>3.3181355932203389</v>
      </c>
      <c r="K8" s="14">
        <f>VLOOKUP(A8,[1]Sheet!$A:$G,7,0)</f>
        <v>26</v>
      </c>
      <c r="L8" s="14">
        <f>VLOOKUP(A8,[1]Sheet!$A:$J,10,0)</f>
        <v>4.6500000000000004</v>
      </c>
      <c r="M8" s="14">
        <f t="shared" si="1"/>
        <v>3.9406779661016955</v>
      </c>
      <c r="N8" s="14">
        <f t="shared" si="2"/>
        <v>44.199999999999996</v>
      </c>
      <c r="O8" s="14">
        <f t="shared" si="3"/>
        <v>23.66</v>
      </c>
      <c r="P8" s="14">
        <f t="shared" si="4"/>
        <v>9.2083333333333323E-2</v>
      </c>
      <c r="Q8" s="14">
        <f t="shared" si="5"/>
        <v>13.780000000000001</v>
      </c>
      <c r="R8" s="14">
        <f t="shared" si="6"/>
        <v>17.68</v>
      </c>
      <c r="S8" s="14">
        <f t="shared" si="7"/>
        <v>61.879999999999995</v>
      </c>
      <c r="T8" s="14">
        <f t="shared" si="8"/>
        <v>99.32</v>
      </c>
      <c r="U8" s="14">
        <f t="shared" si="9"/>
        <v>86.271525423728818</v>
      </c>
      <c r="V8" s="14">
        <f t="shared" si="10"/>
        <v>120.9</v>
      </c>
      <c r="W8" s="14">
        <f t="shared" si="11"/>
        <v>102.45762711864408</v>
      </c>
      <c r="X8" s="14">
        <f t="shared" si="13"/>
        <v>16.186101694915266</v>
      </c>
    </row>
    <row r="9" spans="1:25">
      <c r="A9" t="s">
        <v>56</v>
      </c>
      <c r="B9" s="13" t="str">
        <f>VLOOKUP(A9,თვითღირებულება!A:AC,2,0)</f>
        <v>გობი ერგონომიური სახელურებით მწვანე - L</v>
      </c>
      <c r="C9" s="14">
        <f>VLOOKUP(A9,თვითღირებულება!A:AC,6,0)</f>
        <v>1.7</v>
      </c>
      <c r="D9" s="14">
        <f>VLOOKUP(A9,თვითღირებულება!A:AC,15,0)</f>
        <v>0.53</v>
      </c>
      <c r="E9" s="14">
        <f>VLOOKUP(A9,თვითღირებულება!A:AC,12,0)</f>
        <v>0.68</v>
      </c>
      <c r="F9" s="14">
        <f>VLOOKUP(A9,თვითღირებულება!A:AC,11,0)</f>
        <v>3.5</v>
      </c>
      <c r="G9" s="14">
        <f t="shared" si="0"/>
        <v>2.3800000000000003</v>
      </c>
      <c r="H9" s="14">
        <f>VLOOKUP(A9,თვითღირებულება!A:AC,9,0)</f>
        <v>0.91</v>
      </c>
      <c r="I9" s="14">
        <f>VLOOKUP(A9,თვითღირებულება!A:AC,16,0)</f>
        <v>3.82</v>
      </c>
      <c r="J9" s="14">
        <f>VLOOKUP(A9,თვითღირებულება!A:AC,17,0)</f>
        <v>3.3181355932203389</v>
      </c>
      <c r="K9" s="14">
        <f>VLOOKUP(A9,[1]Sheet!$A:$G,7,0)</f>
        <v>10</v>
      </c>
      <c r="L9" s="14">
        <f>VLOOKUP(A9,[1]Sheet!$A:$J,10,0)</f>
        <v>4.6500000000000004</v>
      </c>
      <c r="M9" s="14">
        <f t="shared" si="1"/>
        <v>3.9406779661016955</v>
      </c>
      <c r="N9" s="14">
        <f t="shared" si="2"/>
        <v>17</v>
      </c>
      <c r="O9" s="14">
        <f t="shared" si="3"/>
        <v>9.1</v>
      </c>
      <c r="P9" s="14">
        <f t="shared" si="4"/>
        <v>3.5416666666666666E-2</v>
      </c>
      <c r="Q9" s="14">
        <f t="shared" si="5"/>
        <v>5.3000000000000007</v>
      </c>
      <c r="R9" s="14">
        <f t="shared" si="6"/>
        <v>6.8000000000000007</v>
      </c>
      <c r="S9" s="14">
        <f t="shared" si="7"/>
        <v>23.800000000000004</v>
      </c>
      <c r="T9" s="14">
        <f t="shared" si="8"/>
        <v>38.199999999999996</v>
      </c>
      <c r="U9" s="14">
        <f t="shared" si="9"/>
        <v>33.181355932203388</v>
      </c>
      <c r="V9" s="14">
        <f t="shared" si="10"/>
        <v>46.5</v>
      </c>
      <c r="W9" s="14">
        <f t="shared" si="11"/>
        <v>39.406779661016948</v>
      </c>
      <c r="X9" s="14">
        <f t="shared" si="13"/>
        <v>6.2254237288135599</v>
      </c>
    </row>
    <row r="10" spans="1:25">
      <c r="A10" t="s">
        <v>54</v>
      </c>
      <c r="B10" s="13" t="str">
        <f>VLOOKUP(A10,თვითღირებულება!A:AC,2,0)</f>
        <v>გობი ერგონომიური სახელურებით წითელი - L</v>
      </c>
      <c r="C10" s="14">
        <f>VLOOKUP(A10,თვითღირებულება!A:AC,6,0)</f>
        <v>1.7</v>
      </c>
      <c r="D10" s="14">
        <f>VLOOKUP(A10,თვითღირებულება!A:AC,15,0)</f>
        <v>0.53</v>
      </c>
      <c r="E10" s="14">
        <f>VLOOKUP(A10,თვითღირებულება!A:AC,12,0)</f>
        <v>0.68</v>
      </c>
      <c r="F10" s="14">
        <f>VLOOKUP(A10,თვითღირებულება!A:AC,11,0)</f>
        <v>3.5</v>
      </c>
      <c r="G10" s="14">
        <f t="shared" si="0"/>
        <v>2.3800000000000003</v>
      </c>
      <c r="H10" s="14">
        <f>VLOOKUP(A10,თვითღირებულება!A:AC,9,0)</f>
        <v>0.91</v>
      </c>
      <c r="I10" s="14">
        <f>VLOOKUP(A10,თვითღირებულება!A:AC,16,0)</f>
        <v>3.82</v>
      </c>
      <c r="J10" s="14">
        <f>VLOOKUP(A10,თვითღირებულება!A:AC,17,0)</f>
        <v>3.3181355932203389</v>
      </c>
      <c r="K10" s="14">
        <f>VLOOKUP(A10,[1]Sheet!$A:$G,7,0)</f>
        <v>24</v>
      </c>
      <c r="L10" s="14">
        <f>VLOOKUP(A10,[1]Sheet!$A:$J,10,0)</f>
        <v>4.6500000000000004</v>
      </c>
      <c r="M10" s="14">
        <f t="shared" si="1"/>
        <v>3.9406779661016955</v>
      </c>
      <c r="N10" s="14">
        <f t="shared" si="2"/>
        <v>40.799999999999997</v>
      </c>
      <c r="O10" s="14">
        <f t="shared" si="3"/>
        <v>21.84</v>
      </c>
      <c r="P10" s="14">
        <f t="shared" si="4"/>
        <v>8.4999999999999992E-2</v>
      </c>
      <c r="Q10" s="14">
        <f t="shared" si="5"/>
        <v>12.72</v>
      </c>
      <c r="R10" s="14">
        <f t="shared" si="6"/>
        <v>16.32</v>
      </c>
      <c r="S10" s="14">
        <f t="shared" si="7"/>
        <v>57.120000000000005</v>
      </c>
      <c r="T10" s="14">
        <f t="shared" si="8"/>
        <v>91.679999999999993</v>
      </c>
      <c r="U10" s="14">
        <f t="shared" si="9"/>
        <v>79.635254237288137</v>
      </c>
      <c r="V10" s="14">
        <f t="shared" si="10"/>
        <v>111.60000000000001</v>
      </c>
      <c r="W10" s="14">
        <f t="shared" si="11"/>
        <v>94.576271186440692</v>
      </c>
      <c r="X10" s="14">
        <f t="shared" si="13"/>
        <v>14.941016949152555</v>
      </c>
    </row>
    <row r="11" spans="1:25">
      <c r="A11" t="s">
        <v>50</v>
      </c>
      <c r="B11" s="13" t="str">
        <f>VLOOKUP(A11,თვითღირებულება!A:AC,2,0)</f>
        <v xml:space="preserve">გობი - M ლურჯი </v>
      </c>
      <c r="C11" s="14">
        <f>VLOOKUP(A11,თვითღირებულება!A:AC,6,0)</f>
        <v>1.7</v>
      </c>
      <c r="D11" s="14">
        <f>VLOOKUP(A11,თვითღირებულება!A:AC,15,0)</f>
        <v>0.53</v>
      </c>
      <c r="E11" s="14">
        <f>VLOOKUP(A11,თვითღირებულება!A:AC,12,0)</f>
        <v>0.38</v>
      </c>
      <c r="F11" s="14">
        <f>VLOOKUP(A11,თვითღირებულება!A:AC,11,0)</f>
        <v>3.5</v>
      </c>
      <c r="G11" s="14">
        <f t="shared" si="0"/>
        <v>1.33</v>
      </c>
      <c r="H11" s="14">
        <f>VLOOKUP(A11,თვითღირებულება!A:AC,9,0)</f>
        <v>0.63</v>
      </c>
      <c r="I11" s="14">
        <f>VLOOKUP(A11,თვითღირებულება!A:AC,16,0)</f>
        <v>2.4900000000000002</v>
      </c>
      <c r="J11" s="14">
        <f>VLOOKUP(A11,თვითღირებულება!A:AC,17,0)</f>
        <v>2.1910169491525426</v>
      </c>
      <c r="K11" s="14">
        <f>VLOOKUP(A11,[1]Sheet!$A:$G,7,0)</f>
        <v>0</v>
      </c>
      <c r="L11" s="14">
        <f>VLOOKUP(A11,[1]Sheet!$A:$J,10,0)</f>
        <v>3.85</v>
      </c>
      <c r="M11" s="14">
        <f t="shared" si="1"/>
        <v>3.2627118644067798</v>
      </c>
      <c r="N11" s="14">
        <f t="shared" si="2"/>
        <v>0</v>
      </c>
      <c r="O11" s="14">
        <f t="shared" si="3"/>
        <v>0</v>
      </c>
      <c r="P11" s="14">
        <f t="shared" si="4"/>
        <v>0</v>
      </c>
      <c r="Q11" s="14">
        <f t="shared" si="5"/>
        <v>0</v>
      </c>
      <c r="R11" s="14">
        <f t="shared" si="6"/>
        <v>0</v>
      </c>
      <c r="S11" s="14">
        <f t="shared" si="7"/>
        <v>0</v>
      </c>
      <c r="T11" s="14">
        <f t="shared" si="8"/>
        <v>0</v>
      </c>
      <c r="U11" s="14">
        <f t="shared" si="9"/>
        <v>0</v>
      </c>
      <c r="V11" s="14">
        <f t="shared" si="10"/>
        <v>0</v>
      </c>
      <c r="W11" s="14">
        <f t="shared" si="11"/>
        <v>0</v>
      </c>
      <c r="X11" s="14">
        <f t="shared" si="13"/>
        <v>0</v>
      </c>
    </row>
    <row r="12" spans="1:25">
      <c r="A12" t="s">
        <v>40</v>
      </c>
      <c r="B12" s="13" t="str">
        <f>VLOOKUP(A12,თვითღირებულება!A:AC,2,0)</f>
        <v>თასი ლურჯი - S</v>
      </c>
      <c r="C12" s="14">
        <f>VLOOKUP(A12,თვითღირებულება!A:AC,6,0)</f>
        <v>1.3</v>
      </c>
      <c r="D12" s="14">
        <f>VLOOKUP(A12,თვითღირებულება!A:AC,15,0)</f>
        <v>0.41</v>
      </c>
      <c r="E12" s="14">
        <f>VLOOKUP(A12,თვითღირებულება!A:AC,12,0)</f>
        <v>0.42</v>
      </c>
      <c r="F12" s="14">
        <f>VLOOKUP(A12,თვითღირებულება!A:AC,11,0)</f>
        <v>3.5</v>
      </c>
      <c r="G12" s="14">
        <f t="shared" si="0"/>
        <v>1.47</v>
      </c>
      <c r="H12" s="14">
        <f>VLOOKUP(A12,თვითღირებულება!A:AC,9,0)</f>
        <v>0.49</v>
      </c>
      <c r="I12" s="14">
        <f>VLOOKUP(A12,თვითღირებულება!A:AC,16,0)</f>
        <v>2.37</v>
      </c>
      <c r="J12" s="14">
        <f>VLOOKUP(A12,თვითღირებულება!A:AC,17,0)</f>
        <v>2.0710169491525425</v>
      </c>
      <c r="K12" s="14">
        <f>VLOOKUP(A12,[1]Sheet!$A:$G,7,0)</f>
        <v>0</v>
      </c>
      <c r="L12" s="14">
        <f>VLOOKUP(A12,[1]Sheet!$A:$J,10,0)</f>
        <v>3</v>
      </c>
      <c r="M12" s="14">
        <f t="shared" si="1"/>
        <v>2.5423728813559325</v>
      </c>
      <c r="N12" s="14">
        <f t="shared" si="2"/>
        <v>0</v>
      </c>
      <c r="O12" s="14">
        <f t="shared" si="3"/>
        <v>0</v>
      </c>
      <c r="P12" s="14">
        <f t="shared" si="4"/>
        <v>0</v>
      </c>
      <c r="Q12" s="14">
        <f t="shared" si="5"/>
        <v>0</v>
      </c>
      <c r="R12" s="14">
        <f t="shared" si="6"/>
        <v>0</v>
      </c>
      <c r="S12" s="14">
        <f t="shared" si="7"/>
        <v>0</v>
      </c>
      <c r="T12" s="14">
        <f t="shared" si="8"/>
        <v>0</v>
      </c>
      <c r="U12" s="14">
        <f t="shared" si="9"/>
        <v>0</v>
      </c>
      <c r="V12" s="14">
        <f t="shared" si="10"/>
        <v>0</v>
      </c>
      <c r="W12" s="14">
        <f t="shared" si="11"/>
        <v>0</v>
      </c>
      <c r="X12" s="14">
        <f t="shared" si="13"/>
        <v>0</v>
      </c>
    </row>
    <row r="13" spans="1:25">
      <c r="A13" t="s">
        <v>38</v>
      </c>
      <c r="B13" s="13" t="str">
        <f>VLOOKUP(A13,თვითღირებულება!A:AC,2,0)</f>
        <v>თასი მწვანე - S</v>
      </c>
      <c r="C13" s="14">
        <f>VLOOKUP(A13,თვითღირებულება!A:AC,6,0)</f>
        <v>1.3</v>
      </c>
      <c r="D13" s="14">
        <f>VLOOKUP(A13,თვითღირებულება!A:AC,15,0)</f>
        <v>0.41</v>
      </c>
      <c r="E13" s="14">
        <f>VLOOKUP(A13,თვითღირებულება!A:AC,12,0)</f>
        <v>0.42</v>
      </c>
      <c r="F13" s="14">
        <f>VLOOKUP(A13,თვითღირებულება!A:AC,11,0)</f>
        <v>3.5</v>
      </c>
      <c r="G13" s="14">
        <f t="shared" si="0"/>
        <v>1.47</v>
      </c>
      <c r="H13" s="14">
        <f>VLOOKUP(A13,თვითღირებულება!A:AC,9,0)</f>
        <v>0.49</v>
      </c>
      <c r="I13" s="14">
        <f>VLOOKUP(A13,თვითღირებულება!A:AC,16,0)</f>
        <v>2.37</v>
      </c>
      <c r="J13" s="14">
        <f>VLOOKUP(A13,თვითღირებულება!A:AC,17,0)</f>
        <v>2.0710169491525425</v>
      </c>
      <c r="K13" s="14">
        <f>VLOOKUP(A13,[1]Sheet!$A:$G,7,0)</f>
        <v>39</v>
      </c>
      <c r="L13" s="14">
        <f>VLOOKUP(A13,[1]Sheet!$A:$J,10,0)</f>
        <v>3</v>
      </c>
      <c r="M13" s="14">
        <f t="shared" si="1"/>
        <v>2.5423728813559325</v>
      </c>
      <c r="N13" s="14">
        <f t="shared" si="2"/>
        <v>50.7</v>
      </c>
      <c r="O13" s="14">
        <f t="shared" si="3"/>
        <v>19.11</v>
      </c>
      <c r="P13" s="14">
        <f t="shared" si="4"/>
        <v>0.10562500000000001</v>
      </c>
      <c r="Q13" s="14">
        <f t="shared" si="5"/>
        <v>15.989999999999998</v>
      </c>
      <c r="R13" s="14">
        <f t="shared" si="6"/>
        <v>16.38</v>
      </c>
      <c r="S13" s="14">
        <f t="shared" si="7"/>
        <v>57.33</v>
      </c>
      <c r="T13" s="14">
        <f t="shared" si="8"/>
        <v>92.43</v>
      </c>
      <c r="U13" s="14">
        <f t="shared" si="9"/>
        <v>80.769661016949158</v>
      </c>
      <c r="V13" s="14">
        <f t="shared" si="10"/>
        <v>117</v>
      </c>
      <c r="W13" s="14">
        <f t="shared" si="11"/>
        <v>99.152542372881356</v>
      </c>
      <c r="X13" s="14">
        <f>W13-U13</f>
        <v>18.382881355932199</v>
      </c>
    </row>
    <row r="14" spans="1:25">
      <c r="A14" t="s">
        <v>42</v>
      </c>
      <c r="B14" s="13" t="str">
        <f>VLOOKUP(A14,თვითღირებულება!A:AC,2,0)</f>
        <v>თასი იასამნისფერი - S</v>
      </c>
      <c r="C14" s="14">
        <f>VLOOKUP(A14,თვითღირებულება!A:AC,6,0)</f>
        <v>1.3</v>
      </c>
      <c r="D14" s="14">
        <f>VLOOKUP(A14,თვითღირებულება!A:AC,15,0)</f>
        <v>0.41</v>
      </c>
      <c r="E14" s="14">
        <f>VLOOKUP(A14,თვითღირებულება!A:AC,12,0)</f>
        <v>0.42</v>
      </c>
      <c r="F14" s="14">
        <f>VLOOKUP(A14,თვითღირებულება!A:AC,11,0)</f>
        <v>3.5</v>
      </c>
      <c r="G14" s="14">
        <f t="shared" si="0"/>
        <v>1.47</v>
      </c>
      <c r="H14" s="14">
        <f>VLOOKUP(A14,თვითღირებულება!A:AC,9,0)</f>
        <v>0.49</v>
      </c>
      <c r="I14" s="14">
        <f>VLOOKUP(A14,თვითღირებულება!A:AC,16,0)</f>
        <v>2.37</v>
      </c>
      <c r="J14" s="14">
        <f>VLOOKUP(A14,თვითღირებულება!A:AC,17,0)</f>
        <v>2.0710169491525425</v>
      </c>
      <c r="K14" s="14">
        <f>VLOOKUP(A14,[1]Sheet!$A:$G,7,0)</f>
        <v>0</v>
      </c>
      <c r="L14" s="14">
        <f>VLOOKUP(A14,[1]Sheet!$A:$J,10,0)</f>
        <v>3</v>
      </c>
      <c r="M14" s="14">
        <f t="shared" si="1"/>
        <v>2.5423728813559325</v>
      </c>
      <c r="N14" s="14">
        <f t="shared" si="2"/>
        <v>0</v>
      </c>
      <c r="O14" s="14">
        <f t="shared" si="3"/>
        <v>0</v>
      </c>
      <c r="P14" s="14">
        <f t="shared" si="4"/>
        <v>0</v>
      </c>
      <c r="Q14" s="14">
        <f t="shared" si="5"/>
        <v>0</v>
      </c>
      <c r="R14" s="14">
        <f t="shared" si="6"/>
        <v>0</v>
      </c>
      <c r="S14" s="14">
        <f t="shared" si="7"/>
        <v>0</v>
      </c>
      <c r="T14" s="14">
        <f t="shared" si="8"/>
        <v>0</v>
      </c>
      <c r="U14" s="14">
        <f t="shared" si="9"/>
        <v>0</v>
      </c>
      <c r="V14" s="14">
        <f t="shared" si="10"/>
        <v>0</v>
      </c>
      <c r="W14" s="14">
        <f t="shared" si="11"/>
        <v>0</v>
      </c>
      <c r="X14" s="14">
        <f t="shared" si="13"/>
        <v>0</v>
      </c>
    </row>
    <row r="15" spans="1:25">
      <c r="A15" t="s">
        <v>36</v>
      </c>
      <c r="B15" s="13" t="str">
        <f>VLOOKUP(A15,თვითღირებულება!A:AC,2,0)</f>
        <v>თასი წითელი - S</v>
      </c>
      <c r="C15" s="14">
        <f>VLOOKUP(A15,თვითღირებულება!A:AC,6,0)</f>
        <v>1.3</v>
      </c>
      <c r="D15" s="14">
        <f>VLOOKUP(A15,თვითღირებულება!A:AC,15,0)</f>
        <v>0.41</v>
      </c>
      <c r="E15" s="14">
        <f>VLOOKUP(A15,თვითღირებულება!A:AC,12,0)</f>
        <v>0.42</v>
      </c>
      <c r="F15" s="14">
        <f>VLOOKUP(A15,თვითღირებულება!A:AC,11,0)</f>
        <v>3.5</v>
      </c>
      <c r="G15" s="14">
        <f t="shared" si="0"/>
        <v>1.47</v>
      </c>
      <c r="H15" s="14">
        <f>VLOOKUP(A15,თვითღირებულება!A:AC,9,0)</f>
        <v>0.49</v>
      </c>
      <c r="I15" s="14">
        <f>VLOOKUP(A15,თვითღირებულება!A:AC,16,0)</f>
        <v>2.37</v>
      </c>
      <c r="J15" s="14">
        <f>VLOOKUP(A15,თვითღირებულება!A:AC,17,0)</f>
        <v>2.0710169491525425</v>
      </c>
      <c r="K15" s="14">
        <f>VLOOKUP(A15,[1]Sheet!$A:$G,7,0)</f>
        <v>7</v>
      </c>
      <c r="L15" s="14">
        <f>VLOOKUP(A15,[1]Sheet!$A:$J,10,0)</f>
        <v>3</v>
      </c>
      <c r="M15" s="14">
        <f t="shared" si="1"/>
        <v>2.5423728813559325</v>
      </c>
      <c r="N15" s="14">
        <f t="shared" si="2"/>
        <v>9.1</v>
      </c>
      <c r="O15" s="14">
        <f t="shared" si="3"/>
        <v>3.4299999999999997</v>
      </c>
      <c r="P15" s="14">
        <f t="shared" si="4"/>
        <v>1.8958333333333334E-2</v>
      </c>
      <c r="Q15" s="14">
        <f t="shared" si="5"/>
        <v>2.8699999999999997</v>
      </c>
      <c r="R15" s="14">
        <f t="shared" si="6"/>
        <v>2.94</v>
      </c>
      <c r="S15" s="14">
        <f t="shared" si="7"/>
        <v>10.29</v>
      </c>
      <c r="T15" s="14">
        <f t="shared" si="8"/>
        <v>16.59</v>
      </c>
      <c r="U15" s="14">
        <f t="shared" si="9"/>
        <v>14.497118644067797</v>
      </c>
      <c r="V15" s="14">
        <f t="shared" si="10"/>
        <v>21</v>
      </c>
      <c r="W15" s="14">
        <f t="shared" si="11"/>
        <v>17.796610169491526</v>
      </c>
      <c r="X15" s="14">
        <f>W15-U15</f>
        <v>3.2994915254237291</v>
      </c>
    </row>
    <row r="16" spans="1:25">
      <c r="A16" t="s">
        <v>26</v>
      </c>
      <c r="B16" s="13" t="str">
        <f>VLOOKUP(A16,თვითღირებულება!A:AC,2,0)</f>
        <v>პლასტმასის სათლი თავსახურით "ჰიდრო მაქსი" ლურჯი</v>
      </c>
      <c r="C16" s="14">
        <f>VLOOKUP(A16,თვითღირებულება!A:AC,6,0)</f>
        <v>1</v>
      </c>
      <c r="D16" s="14">
        <f>VLOOKUP(A16,თვითღირებულება!A:AC,15,0)</f>
        <v>0.31</v>
      </c>
      <c r="E16" s="14">
        <f>VLOOKUP(A16,თვითღირებულება!A:AC,12,0)</f>
        <v>0.96</v>
      </c>
      <c r="F16" s="14">
        <f>VLOOKUP(A16,თვითღირებულება!A:AC,11,0)</f>
        <v>3.5</v>
      </c>
      <c r="G16" s="14">
        <f t="shared" si="0"/>
        <v>3.36</v>
      </c>
      <c r="H16" s="14">
        <f>VLOOKUP(A16,თვითღირებულება!A:AC,9,0)</f>
        <v>0.43</v>
      </c>
      <c r="I16" s="14">
        <f>VLOOKUP(A16,თვითღირებულება!A:AC,16,0)</f>
        <v>4.0999999999999996</v>
      </c>
      <c r="J16" s="14">
        <f>VLOOKUP(A16,თვითღირებულება!A:AC,17,0)</f>
        <v>3.5218644067796609</v>
      </c>
      <c r="K16" s="14">
        <f>VLOOKUP(A16,[1]Sheet!$A:$G,7,0)</f>
        <v>0</v>
      </c>
      <c r="L16" s="14">
        <f>VLOOKUP(A16,[1]Sheet!$A:$J,10,0)</f>
        <v>6.8</v>
      </c>
      <c r="M16" s="14">
        <f t="shared" si="1"/>
        <v>5.7627118644067794</v>
      </c>
      <c r="N16" s="14">
        <f t="shared" si="2"/>
        <v>0</v>
      </c>
      <c r="O16" s="14">
        <f t="shared" si="3"/>
        <v>0</v>
      </c>
      <c r="P16" s="14">
        <f t="shared" si="4"/>
        <v>0</v>
      </c>
      <c r="Q16" s="14">
        <f t="shared" si="5"/>
        <v>0</v>
      </c>
      <c r="R16" s="14">
        <f t="shared" si="6"/>
        <v>0</v>
      </c>
      <c r="S16" s="14">
        <f t="shared" si="7"/>
        <v>0</v>
      </c>
      <c r="T16" s="14">
        <f t="shared" si="8"/>
        <v>0</v>
      </c>
      <c r="U16" s="14">
        <f t="shared" si="9"/>
        <v>0</v>
      </c>
      <c r="V16" s="14">
        <f t="shared" si="10"/>
        <v>0</v>
      </c>
      <c r="W16" s="14">
        <f t="shared" si="11"/>
        <v>0</v>
      </c>
      <c r="X16" s="14">
        <f t="shared" si="13"/>
        <v>0</v>
      </c>
    </row>
    <row r="17" spans="1:24">
      <c r="A17" t="s">
        <v>22</v>
      </c>
      <c r="B17" s="13" t="str">
        <f>VLOOKUP(A17,თვითღირებულება!A:AC,2,0)</f>
        <v>პლასტმასის სათლი "სმარტ პლიუსი" შავი</v>
      </c>
      <c r="C17" s="14">
        <f>VLOOKUP(A17,თვითღირებულება!A:AC,6,0)</f>
        <v>1.7</v>
      </c>
      <c r="D17" s="14">
        <f>VLOOKUP(A17,თვითღირებულება!A:AC,15,0)</f>
        <v>0.53</v>
      </c>
      <c r="E17" s="14">
        <f>VLOOKUP(A17,თვითღირებულება!A:AC,12,0)</f>
        <v>0.53</v>
      </c>
      <c r="F17" s="14">
        <f>VLOOKUP(A17,თვითღირებულება!A:AC,11,0)</f>
        <v>3.5</v>
      </c>
      <c r="G17" s="14">
        <f t="shared" si="0"/>
        <v>1.855</v>
      </c>
      <c r="H17" s="14">
        <f>VLOOKUP(A17,თვითღირებულება!A:AC,9,0)</f>
        <v>0.91</v>
      </c>
      <c r="I17" s="14">
        <f>VLOOKUP(A17,თვითღირებულება!A:AC,16,0)</f>
        <v>3.3</v>
      </c>
      <c r="J17" s="14">
        <f>VLOOKUP(A17,თვითღირებულება!A:AC,17,0)</f>
        <v>2.8774576271186438</v>
      </c>
      <c r="K17" s="14">
        <f>VLOOKUP(A17,[1]Sheet!$A:$G,7,0)</f>
        <v>47</v>
      </c>
      <c r="L17" s="14">
        <f>VLOOKUP(A17,[1]Sheet!$A:$J,10,0)</f>
        <v>3.75</v>
      </c>
      <c r="M17" s="14">
        <f t="shared" si="1"/>
        <v>3.1779661016949152</v>
      </c>
      <c r="N17" s="14">
        <f t="shared" si="2"/>
        <v>79.899999999999991</v>
      </c>
      <c r="O17" s="14">
        <f t="shared" si="3"/>
        <v>42.77</v>
      </c>
      <c r="P17" s="14">
        <f t="shared" si="4"/>
        <v>0.16645833333333332</v>
      </c>
      <c r="Q17" s="14">
        <f t="shared" si="5"/>
        <v>24.91</v>
      </c>
      <c r="R17" s="14">
        <f t="shared" si="6"/>
        <v>24.91</v>
      </c>
      <c r="S17" s="14">
        <f t="shared" si="7"/>
        <v>87.185000000000002</v>
      </c>
      <c r="T17" s="14">
        <f t="shared" si="8"/>
        <v>155.1</v>
      </c>
      <c r="U17" s="14">
        <f t="shared" si="9"/>
        <v>135.24050847457627</v>
      </c>
      <c r="V17" s="14">
        <f t="shared" si="10"/>
        <v>176.25</v>
      </c>
      <c r="W17" s="14">
        <f t="shared" si="11"/>
        <v>149.36440677966104</v>
      </c>
      <c r="X17" s="14">
        <f t="shared" si="13"/>
        <v>14.123898305084765</v>
      </c>
    </row>
    <row r="18" spans="1:24">
      <c r="A18" t="s">
        <v>122</v>
      </c>
      <c r="B18" s="13" t="str">
        <f>VLOOKUP(A18,თვითღირებულება!A:AC,2,0)</f>
        <v>(დიდი) სანერგე ქოთანი დრენაჟით შავი</v>
      </c>
      <c r="C18" s="14">
        <f>VLOOKUP(A18,თვითღირებულება!A:AC,6,0)</f>
        <v>1.7</v>
      </c>
      <c r="D18" s="14">
        <f>VLOOKUP(A18,თვითღირებულება!A:AC,15,0)</f>
        <v>0.53</v>
      </c>
      <c r="E18" s="14">
        <f>VLOOKUP(A18,თვითღირებულება!A:AC,12,0)</f>
        <v>0.36</v>
      </c>
      <c r="F18" s="14">
        <f>VLOOKUP(A18,თვითღირებულება!A:AC,11,0)</f>
        <v>3.5</v>
      </c>
      <c r="G18" s="14">
        <f t="shared" si="0"/>
        <v>1.26</v>
      </c>
      <c r="H18" s="14">
        <f>VLOOKUP(A18,თვითღირებულება!A:AC,9,0)</f>
        <v>0.63</v>
      </c>
      <c r="I18" s="14">
        <f>VLOOKUP(A18,თვითღირებულება!A:AC,16,0)</f>
        <v>2.42</v>
      </c>
      <c r="J18" s="14">
        <f>VLOOKUP(A18,თვითღირებულება!A:AC,17,0)</f>
        <v>2.1316949152542373</v>
      </c>
      <c r="K18" s="14">
        <f>VLOOKUP(A18,[1]Sheet!$A:$G,7,0)</f>
        <v>23</v>
      </c>
      <c r="L18" s="14">
        <f>VLOOKUP(A18,[1]Sheet!$A:$J,10,0)</f>
        <v>2.75</v>
      </c>
      <c r="M18" s="14">
        <f t="shared" si="1"/>
        <v>2.3305084745762712</v>
      </c>
      <c r="N18" s="14">
        <f t="shared" si="2"/>
        <v>39.1</v>
      </c>
      <c r="O18" s="14">
        <f t="shared" si="3"/>
        <v>14.49</v>
      </c>
      <c r="P18" s="14">
        <f t="shared" si="4"/>
        <v>8.1458333333333341E-2</v>
      </c>
      <c r="Q18" s="14">
        <f t="shared" si="5"/>
        <v>12.190000000000001</v>
      </c>
      <c r="R18" s="14">
        <f t="shared" si="6"/>
        <v>8.2799999999999994</v>
      </c>
      <c r="S18" s="14">
        <f t="shared" si="7"/>
        <v>28.979999999999997</v>
      </c>
      <c r="T18" s="14">
        <f t="shared" si="8"/>
        <v>55.66</v>
      </c>
      <c r="U18" s="14">
        <f t="shared" si="9"/>
        <v>49.028983050847458</v>
      </c>
      <c r="V18" s="14">
        <f t="shared" si="10"/>
        <v>63.25</v>
      </c>
      <c r="W18" s="14">
        <f t="shared" si="11"/>
        <v>53.601694915254242</v>
      </c>
      <c r="X18" s="14">
        <f t="shared" si="13"/>
        <v>4.5727118644067843</v>
      </c>
    </row>
    <row r="19" spans="1:24">
      <c r="A19" t="s">
        <v>120</v>
      </c>
      <c r="B19" s="13" t="str">
        <f>VLOOKUP(A19,თვითღირებულება!A:AC,2,0)</f>
        <v>გობი სახელურის გარეშე ლურჯი - XL</v>
      </c>
      <c r="C19" s="14">
        <f>VLOOKUP(A19,თვითღირებულება!A:AC,6,0)</f>
        <v>1.7</v>
      </c>
      <c r="D19" s="14">
        <f>VLOOKUP(A19,თვითღირებულება!A:AC,15,0)</f>
        <v>0.53</v>
      </c>
      <c r="E19" s="14">
        <f>VLOOKUP(A19,თვითღირებულება!A:AC,12,0)</f>
        <v>1.02</v>
      </c>
      <c r="F19" s="14">
        <f>VLOOKUP(A19,თვითღირებულება!A:AC,11,0)</f>
        <v>3.5</v>
      </c>
      <c r="G19" s="14">
        <f t="shared" si="0"/>
        <v>3.5700000000000003</v>
      </c>
      <c r="H19" s="14">
        <f>VLOOKUP(A19,თვითღირებულება!A:AC,9,0)</f>
        <v>0.91</v>
      </c>
      <c r="I19" s="14">
        <f>VLOOKUP(A19,თვითღირებულება!A:AC,16,0)</f>
        <v>5.01</v>
      </c>
      <c r="J19" s="14">
        <f>VLOOKUP(A19,თვითღირებულება!A:AC,17,0)</f>
        <v>4.3266101694915253</v>
      </c>
      <c r="K19" s="14">
        <f>VLOOKUP(A19,[1]Sheet!$A:$G,7,0)</f>
        <v>24</v>
      </c>
      <c r="L19" s="14">
        <f>VLOOKUP(A19,[1]Sheet!$A:$J,10,0)</f>
        <v>5.45</v>
      </c>
      <c r="M19" s="14">
        <f t="shared" si="1"/>
        <v>4.6186440677966107</v>
      </c>
      <c r="N19" s="14">
        <f t="shared" si="2"/>
        <v>40.799999999999997</v>
      </c>
      <c r="O19" s="14">
        <f t="shared" si="3"/>
        <v>21.84</v>
      </c>
      <c r="P19" s="14">
        <f t="shared" si="4"/>
        <v>8.4999999999999992E-2</v>
      </c>
      <c r="Q19" s="14">
        <f t="shared" si="5"/>
        <v>12.72</v>
      </c>
      <c r="R19" s="14">
        <f t="shared" si="6"/>
        <v>24.48</v>
      </c>
      <c r="S19" s="14">
        <f t="shared" si="7"/>
        <v>85.68</v>
      </c>
      <c r="T19" s="14">
        <f t="shared" si="8"/>
        <v>120.24</v>
      </c>
      <c r="U19" s="14">
        <f t="shared" si="9"/>
        <v>103.83864406779661</v>
      </c>
      <c r="V19" s="14">
        <f t="shared" si="10"/>
        <v>130.80000000000001</v>
      </c>
      <c r="W19" s="14">
        <f t="shared" si="11"/>
        <v>110.84745762711866</v>
      </c>
      <c r="X19" s="14">
        <f t="shared" si="13"/>
        <v>7.00881355932205</v>
      </c>
    </row>
    <row r="20" spans="1:24">
      <c r="A20" t="s">
        <v>114</v>
      </c>
      <c r="B20" s="13" t="str">
        <f>VLOOKUP(A20,თვითღირებულება!A:AC,2,0)</f>
        <v>პლასტმასის სათლი თავსახურით "ჰიდრო მინი" ლურჯი</v>
      </c>
      <c r="C20" s="14">
        <f>VLOOKUP(A20,თვითღირებულება!A:AC,6,0)</f>
        <v>1.5</v>
      </c>
      <c r="D20" s="14">
        <f>VLOOKUP(A20,თვითღირებულება!A:AC,15,0)</f>
        <v>0.47</v>
      </c>
      <c r="E20" s="14">
        <f>VLOOKUP(A20,თვითღირებულება!A:AC,12,0)</f>
        <v>0.8</v>
      </c>
      <c r="F20" s="14">
        <f>VLOOKUP(A20,თვითღირებულება!A:AC,11,0)</f>
        <v>3.5</v>
      </c>
      <c r="G20" s="14">
        <f t="shared" si="0"/>
        <v>2.8000000000000003</v>
      </c>
      <c r="H20" s="14">
        <f>VLOOKUP(A20,თვითღირებულება!A:AC,9,0)</f>
        <v>0.64</v>
      </c>
      <c r="I20" s="14">
        <f>VLOOKUP(A20,თვითღირებულება!A:AC,16,0)</f>
        <v>3.91</v>
      </c>
      <c r="J20" s="14">
        <f>VLOOKUP(A20,თვითღირებულება!A:AC,17,0)</f>
        <v>3.3852542372881356</v>
      </c>
      <c r="K20" s="14">
        <f>VLOOKUP(A20,[1]Sheet!$A:$G,7,0)</f>
        <v>0</v>
      </c>
      <c r="L20" s="14">
        <f>VLOOKUP(A20,[1]Sheet!$A:$J,10,0)</f>
        <v>6.4</v>
      </c>
      <c r="M20" s="14">
        <f t="shared" si="1"/>
        <v>5.4237288135593227</v>
      </c>
      <c r="N20" s="14">
        <f t="shared" si="2"/>
        <v>0</v>
      </c>
      <c r="O20" s="14">
        <f t="shared" si="3"/>
        <v>0</v>
      </c>
      <c r="P20" s="14">
        <f t="shared" si="4"/>
        <v>0</v>
      </c>
      <c r="Q20" s="14">
        <f t="shared" si="5"/>
        <v>0</v>
      </c>
      <c r="R20" s="14">
        <f t="shared" si="6"/>
        <v>0</v>
      </c>
      <c r="S20" s="14">
        <f t="shared" si="7"/>
        <v>0</v>
      </c>
      <c r="T20" s="14">
        <f t="shared" si="8"/>
        <v>0</v>
      </c>
      <c r="U20" s="14">
        <f t="shared" si="9"/>
        <v>0</v>
      </c>
      <c r="V20" s="14">
        <f t="shared" si="10"/>
        <v>0</v>
      </c>
      <c r="W20" s="14">
        <f t="shared" si="11"/>
        <v>0</v>
      </c>
      <c r="X20" s="14">
        <f t="shared" si="13"/>
        <v>0</v>
      </c>
    </row>
    <row r="21" spans="1:24">
      <c r="A21" t="s">
        <v>271</v>
      </c>
      <c r="B21" s="13" t="str">
        <f>VLOOKUP(A21,თვითღირებულება!A:AC,2,0)</f>
        <v>ცილინდრული სათლი შავი</v>
      </c>
      <c r="C21" s="14">
        <f>VLOOKUP(A21,თვითღირებულება!A:AC,6,0)</f>
        <v>1.5</v>
      </c>
      <c r="D21" s="14">
        <f>VLOOKUP(A21,თვითღირებულება!A:AC,15,0)</f>
        <v>0.47</v>
      </c>
      <c r="E21" s="14">
        <f>VLOOKUP(A21,თვითღირებულება!A:AC,12,0)</f>
        <v>0.34</v>
      </c>
      <c r="F21" s="14">
        <f>VLOOKUP(A21,თვითღირებულება!A:AC,11,0)</f>
        <v>3.5</v>
      </c>
      <c r="G21" s="14">
        <f t="shared" si="0"/>
        <v>1.1900000000000002</v>
      </c>
      <c r="H21" s="14">
        <f>VLOOKUP(A21,თვითღირებულება!A:AC,9,0)</f>
        <v>0.56000000000000005</v>
      </c>
      <c r="I21" s="14">
        <f>VLOOKUP(A21,თვითღირებულება!A:AC,16,0)</f>
        <v>2.2200000000000002</v>
      </c>
      <c r="J21" s="14">
        <f>VLOOKUP(A21,თვითღირებულება!A:AC,17,0)</f>
        <v>1.9530508474576274</v>
      </c>
      <c r="K21" s="14">
        <f>VLOOKUP(A21,[1]Sheet!$A:$G,7,0)</f>
        <v>8</v>
      </c>
      <c r="L21" s="14">
        <f>VLOOKUP(A21,[1]Sheet!$A:$J,10,0)</f>
        <v>2.25</v>
      </c>
      <c r="M21" s="14">
        <f t="shared" si="1"/>
        <v>1.9067796610169492</v>
      </c>
      <c r="N21" s="14">
        <f t="shared" si="2"/>
        <v>12</v>
      </c>
      <c r="O21" s="14">
        <f t="shared" si="3"/>
        <v>4.4800000000000004</v>
      </c>
      <c r="P21" s="14">
        <f t="shared" si="4"/>
        <v>2.5000000000000001E-2</v>
      </c>
      <c r="Q21" s="14">
        <f t="shared" si="5"/>
        <v>3.76</v>
      </c>
      <c r="R21" s="14">
        <f t="shared" si="6"/>
        <v>2.72</v>
      </c>
      <c r="S21" s="14">
        <f t="shared" si="7"/>
        <v>9.5200000000000014</v>
      </c>
      <c r="T21" s="14">
        <f t="shared" si="8"/>
        <v>17.760000000000002</v>
      </c>
      <c r="U21" s="14">
        <f t="shared" si="9"/>
        <v>15.624406779661019</v>
      </c>
      <c r="V21" s="14">
        <f t="shared" si="10"/>
        <v>18</v>
      </c>
      <c r="W21" s="14">
        <f t="shared" si="11"/>
        <v>15.254237288135593</v>
      </c>
      <c r="X21" s="14">
        <f t="shared" si="13"/>
        <v>-0.37016949152542544</v>
      </c>
    </row>
    <row r="22" spans="1:24">
      <c r="A22" t="s">
        <v>96</v>
      </c>
      <c r="B22" s="13" t="str">
        <f>VLOOKUP(A22,თვითღირებულება!A:AC,2,0)</f>
        <v>პლასტმასის სათლი "სმარტი" შავი</v>
      </c>
      <c r="C22" s="14">
        <f>VLOOKUP(A22,თვითღირებულება!A:AC,6,0)</f>
        <v>1.7</v>
      </c>
      <c r="D22" s="14">
        <f>VLOOKUP(A22,თვითღირებულება!A:AC,15,0)</f>
        <v>0.53</v>
      </c>
      <c r="E22" s="14">
        <f>VLOOKUP(A22,თვითღირებულება!A:AC,12,0)</f>
        <v>0.34</v>
      </c>
      <c r="F22" s="14">
        <f>VLOOKUP(A22,თვითღირებულება!A:AC,11,0)</f>
        <v>3.5</v>
      </c>
      <c r="G22" s="14">
        <f t="shared" si="0"/>
        <v>1.1900000000000002</v>
      </c>
      <c r="H22" s="14">
        <f>VLOOKUP(A22,თვითღირებულება!A:AC,9,0)</f>
        <v>0.63</v>
      </c>
      <c r="I22" s="14">
        <f>VLOOKUP(A22,თვითღირებულება!A:AC,16,0)</f>
        <v>2.35</v>
      </c>
      <c r="J22" s="14">
        <f>VLOOKUP(A22,თვითღირებულება!A:AC,17,0)</f>
        <v>2.0723728813559323</v>
      </c>
      <c r="K22" s="14">
        <f>VLOOKUP(A22,[1]Sheet!$A:$G,7,0)</f>
        <v>25</v>
      </c>
      <c r="L22" s="14">
        <f>VLOOKUP(A22,[1]Sheet!$A:$J,10,0)</f>
        <v>3</v>
      </c>
      <c r="M22" s="14">
        <f t="shared" si="1"/>
        <v>2.5423728813559325</v>
      </c>
      <c r="N22" s="14">
        <f t="shared" si="2"/>
        <v>42.5</v>
      </c>
      <c r="O22" s="14">
        <f t="shared" si="3"/>
        <v>15.75</v>
      </c>
      <c r="P22" s="14">
        <f t="shared" si="4"/>
        <v>8.8541666666666671E-2</v>
      </c>
      <c r="Q22" s="14">
        <f t="shared" si="5"/>
        <v>13.25</v>
      </c>
      <c r="R22" s="14">
        <f t="shared" si="6"/>
        <v>8.5</v>
      </c>
      <c r="S22" s="14">
        <f t="shared" si="7"/>
        <v>29.75</v>
      </c>
      <c r="T22" s="14">
        <f t="shared" si="8"/>
        <v>58.75</v>
      </c>
      <c r="U22" s="14">
        <f t="shared" si="9"/>
        <v>51.809322033898312</v>
      </c>
      <c r="V22" s="14">
        <f t="shared" si="10"/>
        <v>75</v>
      </c>
      <c r="W22" s="14">
        <f t="shared" si="11"/>
        <v>63.559322033898312</v>
      </c>
      <c r="X22" s="14">
        <f t="shared" si="13"/>
        <v>11.75</v>
      </c>
    </row>
    <row r="23" spans="1:24">
      <c r="A23" t="s">
        <v>94</v>
      </c>
      <c r="B23" s="13" t="str">
        <f>VLOOKUP(A23,თვითღირებულება!A:AC,2,0)</f>
        <v>მრგვალი ვარცლი ლურჯი - M</v>
      </c>
      <c r="C23" s="14">
        <f>VLOOKUP(A23,თვითღირებულება!A:AC,6,0)</f>
        <v>1.7</v>
      </c>
      <c r="D23" s="14">
        <f>VLOOKUP(A23,თვითღირებულება!A:AC,15,0)</f>
        <v>0.53</v>
      </c>
      <c r="E23" s="14">
        <f>VLOOKUP(A23,თვითღირებულება!A:AC,12,0)</f>
        <v>0.76</v>
      </c>
      <c r="F23" s="14">
        <f>VLOOKUP(A23,თვითღირებულება!A:AC,11,0)</f>
        <v>3.5</v>
      </c>
      <c r="G23" s="14">
        <f t="shared" si="0"/>
        <v>2.66</v>
      </c>
      <c r="H23" s="14">
        <f>VLOOKUP(A23,თვითღირებულება!A:AC,9,0)</f>
        <v>1.0900000000000001</v>
      </c>
      <c r="I23" s="14">
        <f>VLOOKUP(A23,თვითღირებულება!A:AC,16,0)</f>
        <v>4.28</v>
      </c>
      <c r="J23" s="14">
        <f>VLOOKUP(A23,თვითღირებულება!A:AC,17,0)</f>
        <v>3.7079661016949155</v>
      </c>
      <c r="K23" s="14">
        <f>VLOOKUP(A23,[1]Sheet!$A:$G,7,0)</f>
        <v>0</v>
      </c>
      <c r="L23" s="14">
        <f>VLOOKUP(A23,[1]Sheet!$A:$J,10,0)</f>
        <v>4.25</v>
      </c>
      <c r="M23" s="14">
        <f t="shared" si="1"/>
        <v>3.6016949152542375</v>
      </c>
      <c r="N23" s="14">
        <f t="shared" si="2"/>
        <v>0</v>
      </c>
      <c r="O23" s="14">
        <f t="shared" si="3"/>
        <v>0</v>
      </c>
      <c r="P23" s="14">
        <f t="shared" si="4"/>
        <v>0</v>
      </c>
      <c r="Q23" s="14">
        <f t="shared" si="5"/>
        <v>0</v>
      </c>
      <c r="R23" s="14">
        <f t="shared" si="6"/>
        <v>0</v>
      </c>
      <c r="S23" s="14">
        <f t="shared" si="7"/>
        <v>0</v>
      </c>
      <c r="T23" s="14">
        <f t="shared" si="8"/>
        <v>0</v>
      </c>
      <c r="U23" s="14">
        <f t="shared" si="9"/>
        <v>0</v>
      </c>
      <c r="V23" s="14">
        <f t="shared" si="10"/>
        <v>0</v>
      </c>
      <c r="W23" s="14">
        <f t="shared" si="11"/>
        <v>0</v>
      </c>
      <c r="X23" s="14">
        <f t="shared" si="13"/>
        <v>0</v>
      </c>
    </row>
    <row r="24" spans="1:24">
      <c r="A24" t="s">
        <v>52</v>
      </c>
      <c r="B24" s="13" t="str">
        <f>VLOOKUP(A24,თვითღირებულება!A:AC,2,0)</f>
        <v>ინდუსტრიული სათლი შავი</v>
      </c>
      <c r="C24" s="14">
        <f>VLOOKUP(A24,თვითღირებულება!A:AC,6,0)</f>
        <v>1.8</v>
      </c>
      <c r="D24" s="14">
        <f>VLOOKUP(A24,თვითღირებულება!A:AC,15,0)</f>
        <v>0.56000000000000005</v>
      </c>
      <c r="E24" s="14">
        <f>VLOOKUP(A24,თვითღირებულება!A:AC,12,0)</f>
        <v>0.9</v>
      </c>
      <c r="F24" s="14">
        <f>VLOOKUP(A24,თვითღირებულება!A:AC,11,0)</f>
        <v>3.5</v>
      </c>
      <c r="G24" s="14">
        <f t="shared" si="0"/>
        <v>3.15</v>
      </c>
      <c r="H24" s="14">
        <f>VLOOKUP(A24,თვითღირებულება!A:AC,9,0)</f>
        <v>1.1499999999999999</v>
      </c>
      <c r="I24" s="14">
        <f>VLOOKUP(A24,თვითღირებულება!A:AC,16,0)</f>
        <v>4.8600000000000003</v>
      </c>
      <c r="J24" s="14">
        <f>VLOOKUP(A24,თვითღირებულება!A:AC,17,0)</f>
        <v>4.20406779661017</v>
      </c>
      <c r="K24" s="14">
        <f>VLOOKUP(A24,[1]Sheet!$A:$G,7,0)</f>
        <v>25</v>
      </c>
      <c r="L24" s="14">
        <f>VLOOKUP(A24,[1]Sheet!$A:$J,10,0)</f>
        <v>7.65</v>
      </c>
      <c r="M24" s="14">
        <f t="shared" si="1"/>
        <v>6.4830508474576281</v>
      </c>
      <c r="N24" s="14">
        <f t="shared" si="2"/>
        <v>45</v>
      </c>
      <c r="O24" s="14">
        <f t="shared" si="3"/>
        <v>28.749999999999996</v>
      </c>
      <c r="P24" s="14">
        <f t="shared" si="4"/>
        <v>9.375E-2</v>
      </c>
      <c r="Q24" s="14">
        <f t="shared" si="5"/>
        <v>14.000000000000002</v>
      </c>
      <c r="R24" s="14">
        <f t="shared" si="6"/>
        <v>22.5</v>
      </c>
      <c r="S24" s="14">
        <f t="shared" si="7"/>
        <v>78.75</v>
      </c>
      <c r="T24" s="14">
        <f t="shared" si="8"/>
        <v>121.50000000000001</v>
      </c>
      <c r="U24" s="14">
        <f t="shared" si="9"/>
        <v>105.10169491525426</v>
      </c>
      <c r="V24" s="14">
        <f t="shared" si="10"/>
        <v>191.25</v>
      </c>
      <c r="W24" s="14">
        <f t="shared" si="11"/>
        <v>162.07627118644069</v>
      </c>
      <c r="X24" s="14">
        <f>W24-U24</f>
        <v>56.974576271186436</v>
      </c>
    </row>
    <row r="25" spans="1:24">
      <c r="A25" t="s">
        <v>46</v>
      </c>
      <c r="B25" s="13" t="str">
        <f>VLOOKUP(A25,თვითღირებულება!A:AC,2,0)</f>
        <v>ოვალური აქანდაზი ლურჯი</v>
      </c>
      <c r="C25" s="14">
        <f>VLOOKUP(A25,თვითღირებულება!A:AC,6,0)</f>
        <v>1</v>
      </c>
      <c r="D25" s="14">
        <f>VLOOKUP(A25,თვითღირებულება!A:AC,15,0)</f>
        <v>0.31</v>
      </c>
      <c r="E25" s="14">
        <f>VLOOKUP(A25,თვითღირებულება!A:AC,12,0)</f>
        <v>0.13</v>
      </c>
      <c r="F25" s="14">
        <f>VLOOKUP(A25,თვითღირებულება!A:AC,11,0)</f>
        <v>3.5</v>
      </c>
      <c r="G25" s="14">
        <f t="shared" si="0"/>
        <v>0.45500000000000002</v>
      </c>
      <c r="H25" s="14">
        <f>VLOOKUP(A25,თვითღირებულება!A:AC,9,0)</f>
        <v>0.27</v>
      </c>
      <c r="I25" s="14">
        <f>VLOOKUP(A25,თვითღირებულება!A:AC,16,0)</f>
        <v>1.04</v>
      </c>
      <c r="J25" s="14">
        <f>VLOOKUP(A25,თვითღირებულება!A:AC,17,0)</f>
        <v>0.92864406779661024</v>
      </c>
      <c r="K25" s="14">
        <f>VLOOKUP(A25,[1]Sheet!$A:$G,7,0)</f>
        <v>0</v>
      </c>
      <c r="L25" s="14">
        <f>VLOOKUP(A25,[1]Sheet!$A:$J,10,0)</f>
        <v>1.7</v>
      </c>
      <c r="M25" s="14">
        <f t="shared" si="1"/>
        <v>1.4406779661016949</v>
      </c>
      <c r="N25" s="14">
        <f t="shared" si="2"/>
        <v>0</v>
      </c>
      <c r="O25" s="14">
        <f t="shared" si="3"/>
        <v>0</v>
      </c>
      <c r="P25" s="14">
        <f t="shared" si="4"/>
        <v>0</v>
      </c>
      <c r="Q25" s="14">
        <f t="shared" si="5"/>
        <v>0</v>
      </c>
      <c r="R25" s="14">
        <f t="shared" si="6"/>
        <v>0</v>
      </c>
      <c r="S25" s="14">
        <f t="shared" si="7"/>
        <v>0</v>
      </c>
      <c r="T25" s="14">
        <f t="shared" si="8"/>
        <v>0</v>
      </c>
      <c r="U25" s="14">
        <f t="shared" si="9"/>
        <v>0</v>
      </c>
      <c r="V25" s="14">
        <f t="shared" si="10"/>
        <v>0</v>
      </c>
      <c r="W25" s="14">
        <f t="shared" si="11"/>
        <v>0</v>
      </c>
      <c r="X25" s="14">
        <f t="shared" si="13"/>
        <v>0</v>
      </c>
    </row>
    <row r="26" spans="1:24">
      <c r="A26" t="s">
        <v>124</v>
      </c>
      <c r="B26" s="13" t="str">
        <f>VLOOKUP(A26,თვითღირებულება!A:AC,2,0)</f>
        <v>ოვალური აქანდაზი მწვანე</v>
      </c>
      <c r="C26" s="14">
        <f>VLOOKUP(A26,თვითღირებულება!A:AC,6,0)</f>
        <v>1</v>
      </c>
      <c r="D26" s="14">
        <f>VLOOKUP(A26,თვითღირებულება!A:AC,15,0)</f>
        <v>0.31</v>
      </c>
      <c r="E26" s="14">
        <f>VLOOKUP(A26,თვითღირებულება!A:AC,12,0)</f>
        <v>0.13</v>
      </c>
      <c r="F26" s="14">
        <f>VLOOKUP(A26,თვითღირებულება!A:AC,11,0)</f>
        <v>3.5</v>
      </c>
      <c r="G26" s="14">
        <f t="shared" si="0"/>
        <v>0.45500000000000002</v>
      </c>
      <c r="H26" s="14">
        <f>VLOOKUP(A26,თვითღირებულება!A:AC,9,0)</f>
        <v>0.27</v>
      </c>
      <c r="I26" s="14">
        <f>VLOOKUP(A26,თვითღირებულება!A:AC,16,0)</f>
        <v>1.04</v>
      </c>
      <c r="J26" s="14">
        <f>VLOOKUP(A26,თვითღირებულება!A:AC,17,0)</f>
        <v>0.92864406779661024</v>
      </c>
      <c r="K26" s="14">
        <f>VLOOKUP(A26,[1]Sheet!$A:$G,7,0)</f>
        <v>0</v>
      </c>
      <c r="L26" s="14">
        <f>VLOOKUP(A26,[1]Sheet!$A:$J,10,0)</f>
        <v>1.7</v>
      </c>
      <c r="M26" s="14">
        <f t="shared" si="1"/>
        <v>1.4406779661016949</v>
      </c>
      <c r="N26" s="14">
        <f t="shared" si="2"/>
        <v>0</v>
      </c>
      <c r="O26" s="14">
        <f t="shared" si="3"/>
        <v>0</v>
      </c>
      <c r="P26" s="14">
        <f t="shared" si="4"/>
        <v>0</v>
      </c>
      <c r="Q26" s="14">
        <f t="shared" si="5"/>
        <v>0</v>
      </c>
      <c r="R26" s="14">
        <f t="shared" si="6"/>
        <v>0</v>
      </c>
      <c r="S26" s="14">
        <f t="shared" si="7"/>
        <v>0</v>
      </c>
      <c r="T26" s="14">
        <f t="shared" si="8"/>
        <v>0</v>
      </c>
      <c r="U26" s="14">
        <f t="shared" si="9"/>
        <v>0</v>
      </c>
      <c r="V26" s="14">
        <f t="shared" si="10"/>
        <v>0</v>
      </c>
      <c r="W26" s="14">
        <f t="shared" si="11"/>
        <v>0</v>
      </c>
      <c r="X26" s="14">
        <f t="shared" si="13"/>
        <v>0</v>
      </c>
    </row>
    <row r="27" spans="1:24">
      <c r="A27" t="s">
        <v>44</v>
      </c>
      <c r="B27" s="13" t="str">
        <f>VLOOKUP(A27,თვითღირებულება!A:AC,2,0)</f>
        <v>ოვალური აქანდაზი წითელი</v>
      </c>
      <c r="C27" s="14">
        <f>VLOOKUP(A27,თვითღირებულება!A:AC,6,0)</f>
        <v>1</v>
      </c>
      <c r="D27" s="14">
        <f>VLOOKUP(A27,თვითღირებულება!A:AC,15,0)</f>
        <v>0.31</v>
      </c>
      <c r="E27" s="14">
        <f>VLOOKUP(A27,თვითღირებულება!A:AC,12,0)</f>
        <v>0.13</v>
      </c>
      <c r="F27" s="14">
        <f>VLOOKUP(A27,თვითღირებულება!A:AC,11,0)</f>
        <v>6.65</v>
      </c>
      <c r="G27" s="14">
        <f t="shared" si="0"/>
        <v>0.86450000000000005</v>
      </c>
      <c r="H27" s="14">
        <f>VLOOKUP(A27,თვითღირებულება!A:AC,9,0)</f>
        <v>0.27</v>
      </c>
      <c r="I27" s="14">
        <f>VLOOKUP(A27,თვითღირებულება!A:AC,16,0)</f>
        <v>1.44</v>
      </c>
      <c r="J27" s="14">
        <f>VLOOKUP(A27,თვითღირებულება!A:AC,17,0)</f>
        <v>1.2676271186440677</v>
      </c>
      <c r="K27" s="14">
        <f>VLOOKUP(A27,[1]Sheet!$A:$G,7,0)</f>
        <v>0</v>
      </c>
      <c r="L27" s="14">
        <f>VLOOKUP(A27,[1]Sheet!$A:$J,10,0)</f>
        <v>1.7</v>
      </c>
      <c r="M27" s="14">
        <f t="shared" si="1"/>
        <v>1.4406779661016949</v>
      </c>
      <c r="N27" s="14">
        <f t="shared" si="2"/>
        <v>0</v>
      </c>
      <c r="O27" s="14">
        <f t="shared" si="3"/>
        <v>0</v>
      </c>
      <c r="P27" s="14">
        <f t="shared" si="4"/>
        <v>0</v>
      </c>
      <c r="Q27" s="14">
        <f t="shared" si="5"/>
        <v>0</v>
      </c>
      <c r="R27" s="14">
        <f t="shared" si="6"/>
        <v>0</v>
      </c>
      <c r="S27" s="14">
        <f t="shared" si="7"/>
        <v>0</v>
      </c>
      <c r="T27" s="14">
        <f t="shared" si="8"/>
        <v>0</v>
      </c>
      <c r="U27" s="14">
        <f t="shared" si="9"/>
        <v>0</v>
      </c>
      <c r="V27" s="14">
        <f t="shared" si="10"/>
        <v>0</v>
      </c>
      <c r="W27" s="14">
        <f t="shared" si="11"/>
        <v>0</v>
      </c>
      <c r="X27" s="14">
        <f t="shared" si="13"/>
        <v>0</v>
      </c>
    </row>
    <row r="28" spans="1:24">
      <c r="A28" t="s">
        <v>48</v>
      </c>
      <c r="B28" s="13" t="str">
        <f>VLOOKUP(A28,თვითღირებულება!A:AC,2,0)</f>
        <v>მართკუთხა აქანდაზი ლურჯი</v>
      </c>
      <c r="C28" s="14">
        <f>VLOOKUP(A28,თვითღირებულება!A:AC,6,0)</f>
        <v>1</v>
      </c>
      <c r="D28" s="14">
        <f>VLOOKUP(A28,თვითღირებულება!A:AC,15,0)</f>
        <v>0.31</v>
      </c>
      <c r="E28" s="14">
        <f>VLOOKUP(A28,თვითღირებულება!A:AC,12,0)</f>
        <v>0.13</v>
      </c>
      <c r="F28" s="14">
        <f>VLOOKUP(A28,თვითღირებულება!A:AC,11,0)</f>
        <v>3.5</v>
      </c>
      <c r="G28" s="14">
        <f t="shared" si="0"/>
        <v>0.45500000000000002</v>
      </c>
      <c r="H28" s="14">
        <f>VLOOKUP(A28,თვითღირებულება!A:AC,9,0)</f>
        <v>0.27</v>
      </c>
      <c r="I28" s="14">
        <f>VLOOKUP(A28,თვითღირებულება!A:AC,16,0)</f>
        <v>1.04</v>
      </c>
      <c r="J28" s="14">
        <f>VLOOKUP(A28,თვითღირებულება!A:AC,17,0)</f>
        <v>0.92864406779661024</v>
      </c>
      <c r="K28" s="14">
        <f>VLOOKUP(A28,[1]Sheet!$A:$G,7,0)</f>
        <v>0</v>
      </c>
      <c r="L28" s="14">
        <f>VLOOKUP(A28,[1]Sheet!$A:$J,10,0)</f>
        <v>1.55</v>
      </c>
      <c r="M28" s="14">
        <f t="shared" si="1"/>
        <v>1.3135593220338984</v>
      </c>
      <c r="N28" s="14">
        <f t="shared" si="2"/>
        <v>0</v>
      </c>
      <c r="O28" s="14">
        <f t="shared" si="3"/>
        <v>0</v>
      </c>
      <c r="P28" s="14">
        <f t="shared" si="4"/>
        <v>0</v>
      </c>
      <c r="Q28" s="14">
        <f t="shared" si="5"/>
        <v>0</v>
      </c>
      <c r="R28" s="14">
        <f t="shared" si="6"/>
        <v>0</v>
      </c>
      <c r="S28" s="14">
        <f t="shared" si="7"/>
        <v>0</v>
      </c>
      <c r="T28" s="14">
        <f t="shared" si="8"/>
        <v>0</v>
      </c>
      <c r="U28" s="14">
        <f t="shared" si="9"/>
        <v>0</v>
      </c>
      <c r="V28" s="14">
        <f t="shared" si="10"/>
        <v>0</v>
      </c>
      <c r="W28" s="14">
        <f t="shared" si="11"/>
        <v>0</v>
      </c>
      <c r="X28" s="14">
        <f t="shared" si="13"/>
        <v>0</v>
      </c>
    </row>
    <row r="29" spans="1:24">
      <c r="A29" t="s">
        <v>32</v>
      </c>
      <c r="B29" s="13" t="str">
        <f>VLOOKUP(A29,თვითღირებულება!A:AC,2,0)</f>
        <v>ტარიანი ტოლჩა ლურჯი</v>
      </c>
      <c r="C29" s="14">
        <f>VLOOKUP(A29,თვითღირებულება!A:AC,6,0)</f>
        <v>1</v>
      </c>
      <c r="D29" s="14">
        <f>VLOOKUP(A29,თვითღირებულება!A:AC,15,0)</f>
        <v>0.31</v>
      </c>
      <c r="E29" s="14">
        <f>VLOOKUP(A29,თვითღირებულება!A:AC,12,0)</f>
        <v>0.11</v>
      </c>
      <c r="F29" s="14">
        <f>VLOOKUP(A29,თვითღირებულება!A:AC,11,0)</f>
        <v>3.5</v>
      </c>
      <c r="G29" s="14">
        <f t="shared" ref="G29:G86" si="14">E29*F29</f>
        <v>0.38500000000000001</v>
      </c>
      <c r="H29" s="14">
        <f>VLOOKUP(A29,თვითღირებულება!A:AC,9,0)</f>
        <v>0.27</v>
      </c>
      <c r="I29" s="14">
        <f>VLOOKUP(A29,თვითღირებულება!A:AC,16,0)</f>
        <v>0.97</v>
      </c>
      <c r="J29" s="14">
        <f>VLOOKUP(A29,თვითღირებულება!A:AC,17,0)</f>
        <v>0.86932203389830509</v>
      </c>
      <c r="K29" s="14">
        <f>VLOOKUP(A29,[1]Sheet!$A:$G,7,0)</f>
        <v>23</v>
      </c>
      <c r="L29" s="14">
        <f>VLOOKUP(A29,[1]Sheet!$A:$J,10,0)</f>
        <v>1.55</v>
      </c>
      <c r="M29" s="14">
        <f t="shared" si="1"/>
        <v>1.3135593220338984</v>
      </c>
      <c r="N29" s="14">
        <f t="shared" ref="N29:N86" si="15">K29*C29</f>
        <v>23</v>
      </c>
      <c r="O29" s="14">
        <f t="shared" ref="O29:O86" si="16">K29*H29</f>
        <v>6.2100000000000009</v>
      </c>
      <c r="P29" s="14">
        <f t="shared" ref="P29:P86" si="17">N29/8/60</f>
        <v>4.791666666666667E-2</v>
      </c>
      <c r="Q29" s="14">
        <f t="shared" ref="Q29:Q86" si="18">K29*D29</f>
        <v>7.13</v>
      </c>
      <c r="R29" s="14">
        <f t="shared" ref="R29:R86" si="19">K29*E29</f>
        <v>2.5299999999999998</v>
      </c>
      <c r="S29" s="14">
        <f t="shared" ref="S29:S86" si="20">K29*E29*F29</f>
        <v>8.8549999999999986</v>
      </c>
      <c r="T29" s="14">
        <f t="shared" ref="T29:T86" si="21">K29*I29</f>
        <v>22.31</v>
      </c>
      <c r="U29" s="14">
        <f t="shared" ref="U29:U86" si="22">K29*J29</f>
        <v>19.994406779661016</v>
      </c>
      <c r="V29" s="14">
        <f t="shared" si="10"/>
        <v>35.65</v>
      </c>
      <c r="W29" s="14">
        <f t="shared" si="11"/>
        <v>30.211864406779661</v>
      </c>
      <c r="X29" s="14">
        <f>W29-U29</f>
        <v>10.217457627118645</v>
      </c>
    </row>
    <row r="30" spans="1:24">
      <c r="A30" t="s">
        <v>30</v>
      </c>
      <c r="B30" s="13" t="str">
        <f>VLOOKUP(A30,თვითღირებულება!A:AC,2,0)</f>
        <v>ტარიანი ტოლჩა მწვანე</v>
      </c>
      <c r="C30" s="14">
        <f>VLOOKUP(A30,თვითღირებულება!A:AC,6,0)</f>
        <v>1</v>
      </c>
      <c r="D30" s="14">
        <f>VLOOKUP(A30,თვითღირებულება!A:AC,15,0)</f>
        <v>0.31</v>
      </c>
      <c r="E30" s="14">
        <f>VLOOKUP(A30,თვითღირებულება!A:AC,12,0)</f>
        <v>0.11</v>
      </c>
      <c r="F30" s="14">
        <f>VLOOKUP(A30,თვითღირებულება!A:AC,11,0)</f>
        <v>3.5</v>
      </c>
      <c r="G30" s="14">
        <f t="shared" si="14"/>
        <v>0.38500000000000001</v>
      </c>
      <c r="H30" s="14">
        <f>VLOOKUP(A30,თვითღირებულება!A:AC,9,0)</f>
        <v>0.27</v>
      </c>
      <c r="I30" s="14">
        <f>VLOOKUP(A30,თვითღირებულება!A:AC,16,0)</f>
        <v>0.97</v>
      </c>
      <c r="J30" s="14">
        <f>VLOOKUP(A30,თვითღირებულება!A:AC,17,0)</f>
        <v>0.86932203389830509</v>
      </c>
      <c r="K30" s="14">
        <f>VLOOKUP(A30,[1]Sheet!$A:$G,7,0)</f>
        <v>0</v>
      </c>
      <c r="L30" s="14">
        <f>VLOOKUP(A30,[1]Sheet!$A:$J,10,0)</f>
        <v>1.55</v>
      </c>
      <c r="M30" s="14">
        <f t="shared" si="1"/>
        <v>1.3135593220338984</v>
      </c>
      <c r="N30" s="14">
        <f t="shared" si="15"/>
        <v>0</v>
      </c>
      <c r="O30" s="14">
        <f t="shared" si="16"/>
        <v>0</v>
      </c>
      <c r="P30" s="14">
        <f t="shared" si="17"/>
        <v>0</v>
      </c>
      <c r="Q30" s="14">
        <f t="shared" si="18"/>
        <v>0</v>
      </c>
      <c r="R30" s="14">
        <f t="shared" si="19"/>
        <v>0</v>
      </c>
      <c r="S30" s="14">
        <f t="shared" si="20"/>
        <v>0</v>
      </c>
      <c r="T30" s="14">
        <f t="shared" si="21"/>
        <v>0</v>
      </c>
      <c r="U30" s="14">
        <f t="shared" si="22"/>
        <v>0</v>
      </c>
      <c r="V30" s="14">
        <f t="shared" si="10"/>
        <v>0</v>
      </c>
      <c r="W30" s="14">
        <f t="shared" si="11"/>
        <v>0</v>
      </c>
      <c r="X30" s="14">
        <f t="shared" ref="X30:X86" si="23">W30-U30</f>
        <v>0</v>
      </c>
    </row>
    <row r="31" spans="1:24">
      <c r="A31" t="s">
        <v>34</v>
      </c>
      <c r="B31" s="13" t="str">
        <f>VLOOKUP(A31,თვითღირებულება!A:AC,2,0)</f>
        <v>ტარიანი ტოლჩა იასამნისფერი</v>
      </c>
      <c r="C31" s="14">
        <f>VLOOKUP(A31,თვითღირებულება!A:AC,6,0)</f>
        <v>1</v>
      </c>
      <c r="D31" s="14">
        <f>VLOOKUP(A31,თვითღირებულება!A:AC,15,0)</f>
        <v>0.31</v>
      </c>
      <c r="E31" s="14">
        <f>VLOOKUP(A31,თვითღირებულება!A:AC,12,0)</f>
        <v>0.11</v>
      </c>
      <c r="F31" s="14">
        <f>VLOOKUP(A31,თვითღირებულება!A:AC,11,0)</f>
        <v>3.5</v>
      </c>
      <c r="G31" s="14">
        <f t="shared" si="14"/>
        <v>0.38500000000000001</v>
      </c>
      <c r="H31" s="14">
        <f>VLOOKUP(A31,თვითღირებულება!A:AC,9,0)</f>
        <v>0.27</v>
      </c>
      <c r="I31" s="14">
        <f>VLOOKUP(A31,თვითღირებულება!A:AC,16,0)</f>
        <v>0.97</v>
      </c>
      <c r="J31" s="14">
        <f>VLOOKUP(A31,თვითღირებულება!A:AC,17,0)</f>
        <v>0.86932203389830509</v>
      </c>
      <c r="K31" s="14">
        <f>VLOOKUP(A31,[1]Sheet!$A:$G,7,0)</f>
        <v>17</v>
      </c>
      <c r="L31" s="14">
        <f>VLOOKUP(A31,[1]Sheet!$A:$J,10,0)</f>
        <v>1.55</v>
      </c>
      <c r="M31" s="14">
        <f t="shared" si="1"/>
        <v>1.3135593220338984</v>
      </c>
      <c r="N31" s="14">
        <f t="shared" si="15"/>
        <v>17</v>
      </c>
      <c r="O31" s="14">
        <f t="shared" si="16"/>
        <v>4.59</v>
      </c>
      <c r="P31" s="14">
        <f t="shared" si="17"/>
        <v>3.5416666666666666E-2</v>
      </c>
      <c r="Q31" s="14">
        <f t="shared" si="18"/>
        <v>5.27</v>
      </c>
      <c r="R31" s="14">
        <f t="shared" si="19"/>
        <v>1.87</v>
      </c>
      <c r="S31" s="14">
        <f t="shared" si="20"/>
        <v>6.5449999999999999</v>
      </c>
      <c r="T31" s="14">
        <f t="shared" si="21"/>
        <v>16.489999999999998</v>
      </c>
      <c r="U31" s="14">
        <f t="shared" si="22"/>
        <v>14.778474576271186</v>
      </c>
      <c r="V31" s="14">
        <f t="shared" si="10"/>
        <v>26.35</v>
      </c>
      <c r="W31" s="14">
        <f t="shared" si="11"/>
        <v>22.330508474576273</v>
      </c>
      <c r="X31" s="14">
        <f t="shared" si="23"/>
        <v>7.552033898305087</v>
      </c>
    </row>
    <row r="32" spans="1:24">
      <c r="A32" t="s">
        <v>28</v>
      </c>
      <c r="B32" s="13" t="str">
        <f>VLOOKUP(A32,თვითღირებულება!A:AC,2,0)</f>
        <v>გოდორი შავი</v>
      </c>
      <c r="C32" s="14">
        <f>VLOOKUP(A32,თვითღირებულება!A:AC,6,0)</f>
        <v>1.8</v>
      </c>
      <c r="D32" s="14">
        <f>VLOOKUP(A32,თვითღირებულება!A:AC,15,0)</f>
        <v>0.56000000000000005</v>
      </c>
      <c r="E32" s="14">
        <f>VLOOKUP(A32,თვითღირებულება!A:AC,12,0)</f>
        <v>1.32</v>
      </c>
      <c r="F32" s="14">
        <f>VLOOKUP(A32,თვითღირებულება!A:AC,11,0)</f>
        <v>3.5</v>
      </c>
      <c r="G32" s="14">
        <f t="shared" si="14"/>
        <v>4.62</v>
      </c>
      <c r="H32" s="14">
        <f>VLOOKUP(A32,თვითღირებულება!A:AC,9,0)</f>
        <v>1.1499999999999999</v>
      </c>
      <c r="I32" s="14">
        <f>VLOOKUP(A32,თვითღირებულება!A:AC,16,0)</f>
        <v>6.33</v>
      </c>
      <c r="J32" s="14">
        <f>VLOOKUP(A32,თვითღირებულება!A:AC,17,0)</f>
        <v>5.4498305084745766</v>
      </c>
      <c r="K32" s="14">
        <f>VLOOKUP(A32,[1]Sheet!$A:$G,7,0)</f>
        <v>25</v>
      </c>
      <c r="L32" s="14">
        <f>VLOOKUP(A32,[1]Sheet!$A:$J,10,0)</f>
        <v>7.65</v>
      </c>
      <c r="M32" s="14">
        <f t="shared" si="1"/>
        <v>6.4830508474576281</v>
      </c>
      <c r="N32" s="14">
        <f t="shared" si="15"/>
        <v>45</v>
      </c>
      <c r="O32" s="14">
        <f t="shared" si="16"/>
        <v>28.749999999999996</v>
      </c>
      <c r="P32" s="14">
        <f t="shared" si="17"/>
        <v>9.375E-2</v>
      </c>
      <c r="Q32" s="14">
        <f t="shared" si="18"/>
        <v>14.000000000000002</v>
      </c>
      <c r="R32" s="14">
        <f t="shared" si="19"/>
        <v>33</v>
      </c>
      <c r="S32" s="14">
        <f t="shared" si="20"/>
        <v>115.5</v>
      </c>
      <c r="T32" s="14">
        <f t="shared" si="21"/>
        <v>158.25</v>
      </c>
      <c r="U32" s="14">
        <f t="shared" si="22"/>
        <v>136.24576271186442</v>
      </c>
      <c r="V32" s="14">
        <f t="shared" si="10"/>
        <v>191.25</v>
      </c>
      <c r="W32" s="14">
        <f t="shared" si="11"/>
        <v>162.07627118644069</v>
      </c>
      <c r="X32" s="14">
        <f t="shared" si="23"/>
        <v>25.830508474576277</v>
      </c>
    </row>
    <row r="33" spans="1:24">
      <c r="A33" t="s">
        <v>14</v>
      </c>
      <c r="B33" s="13" t="str">
        <f>VLOOKUP(A33,თვითღირებულება!A:AC,2,0)</f>
        <v>ღრმა პატარა ლანგარი ლურჯი</v>
      </c>
      <c r="C33" s="14">
        <f>VLOOKUP(A33,თვითღირებულება!A:AC,6,0)</f>
        <v>1</v>
      </c>
      <c r="D33" s="14">
        <f>VLOOKUP(A33,თვითღირებულება!A:AC,15,0)</f>
        <v>0.31</v>
      </c>
      <c r="E33" s="14">
        <f>VLOOKUP(A33,თვითღირებულება!A:AC,12,0)</f>
        <v>0.15</v>
      </c>
      <c r="F33" s="14">
        <f>VLOOKUP(A33,თვითღირებულება!A:AC,11,0)</f>
        <v>3.5</v>
      </c>
      <c r="G33" s="14">
        <f t="shared" si="14"/>
        <v>0.52500000000000002</v>
      </c>
      <c r="H33" s="14">
        <f>VLOOKUP(A33,თვითღირებულება!A:AC,9,0)</f>
        <v>0.27</v>
      </c>
      <c r="I33" s="14">
        <f>VLOOKUP(A33,თვითღირებულება!A:AC,16,0)</f>
        <v>1.1100000000000001</v>
      </c>
      <c r="J33" s="14">
        <f>VLOOKUP(A33,თვითღირებულება!A:AC,17,0)</f>
        <v>0.9879661016949155</v>
      </c>
      <c r="K33" s="14">
        <f>VLOOKUP(A33,[1]Sheet!$A:$G,7,0)</f>
        <v>0</v>
      </c>
      <c r="L33" s="14">
        <f>VLOOKUP(A33,[1]Sheet!$A:$J,10,0)</f>
        <v>1.55</v>
      </c>
      <c r="M33" s="14">
        <f t="shared" si="1"/>
        <v>1.3135593220338984</v>
      </c>
      <c r="N33" s="14">
        <f t="shared" si="15"/>
        <v>0</v>
      </c>
      <c r="O33" s="14">
        <f t="shared" si="16"/>
        <v>0</v>
      </c>
      <c r="P33" s="14">
        <f t="shared" si="17"/>
        <v>0</v>
      </c>
      <c r="Q33" s="14">
        <f t="shared" si="18"/>
        <v>0</v>
      </c>
      <c r="R33" s="14">
        <f t="shared" si="19"/>
        <v>0</v>
      </c>
      <c r="S33" s="14">
        <f t="shared" si="20"/>
        <v>0</v>
      </c>
      <c r="T33" s="14">
        <f t="shared" si="21"/>
        <v>0</v>
      </c>
      <c r="U33" s="14">
        <f t="shared" si="22"/>
        <v>0</v>
      </c>
      <c r="V33" s="14">
        <f t="shared" si="10"/>
        <v>0</v>
      </c>
      <c r="W33" s="14">
        <f t="shared" si="11"/>
        <v>0</v>
      </c>
      <c r="X33" s="14">
        <f t="shared" si="23"/>
        <v>0</v>
      </c>
    </row>
    <row r="34" spans="1:24">
      <c r="A34" t="s">
        <v>12</v>
      </c>
      <c r="B34" s="13" t="str">
        <f>VLOOKUP(A34,თვითღირებულება!A:AC,2,0)</f>
        <v>ღრმა პატარა ლანგარი მწვანე</v>
      </c>
      <c r="C34" s="14">
        <f>VLOOKUP(A34,თვითღირებულება!A:AC,6,0)</f>
        <v>1</v>
      </c>
      <c r="D34" s="14">
        <f>VLOOKUP(A34,თვითღირებულება!A:AC,15,0)</f>
        <v>0.31</v>
      </c>
      <c r="E34" s="14">
        <f>VLOOKUP(A34,თვითღირებულება!A:AC,12,0)</f>
        <v>0.15</v>
      </c>
      <c r="F34" s="14">
        <f>VLOOKUP(A34,თვითღირებულება!A:AC,11,0)</f>
        <v>3.5</v>
      </c>
      <c r="G34" s="14">
        <f t="shared" si="14"/>
        <v>0.52500000000000002</v>
      </c>
      <c r="H34" s="14">
        <f>VLOOKUP(A34,თვითღირებულება!A:AC,9,0)</f>
        <v>0.27</v>
      </c>
      <c r="I34" s="14">
        <f>VLOOKUP(A34,თვითღირებულება!A:AC,16,0)</f>
        <v>1.1100000000000001</v>
      </c>
      <c r="J34" s="14">
        <f>VLOOKUP(A34,თვითღირებულება!A:AC,17,0)</f>
        <v>0.9879661016949155</v>
      </c>
      <c r="K34" s="14">
        <f>VLOOKUP(A34,[1]Sheet!$A:$G,7,0)</f>
        <v>0</v>
      </c>
      <c r="L34" s="14">
        <f>VLOOKUP(A34,[1]Sheet!$A:$J,10,0)</f>
        <v>1.55</v>
      </c>
      <c r="M34" s="14">
        <f t="shared" si="1"/>
        <v>1.3135593220338984</v>
      </c>
      <c r="N34" s="14">
        <f t="shared" si="15"/>
        <v>0</v>
      </c>
      <c r="O34" s="14">
        <f t="shared" si="16"/>
        <v>0</v>
      </c>
      <c r="P34" s="14">
        <f t="shared" si="17"/>
        <v>0</v>
      </c>
      <c r="Q34" s="14">
        <f t="shared" si="18"/>
        <v>0</v>
      </c>
      <c r="R34" s="14">
        <f t="shared" si="19"/>
        <v>0</v>
      </c>
      <c r="S34" s="14">
        <f t="shared" si="20"/>
        <v>0</v>
      </c>
      <c r="T34" s="14">
        <f t="shared" si="21"/>
        <v>0</v>
      </c>
      <c r="U34" s="14">
        <f t="shared" si="22"/>
        <v>0</v>
      </c>
      <c r="V34" s="14">
        <f t="shared" si="10"/>
        <v>0</v>
      </c>
      <c r="W34" s="14">
        <f t="shared" si="11"/>
        <v>0</v>
      </c>
      <c r="X34" s="14">
        <f t="shared" si="23"/>
        <v>0</v>
      </c>
    </row>
    <row r="35" spans="1:24">
      <c r="A35" t="s">
        <v>16</v>
      </c>
      <c r="B35" s="13" t="str">
        <f>VLOOKUP(A35,თვითღირებულება!A:AC,2,0)</f>
        <v>ღრმა პატარა ლანგარი იასამნისფერი</v>
      </c>
      <c r="C35" s="14">
        <f>VLOOKUP(A35,თვითღირებულება!A:AC,6,0)</f>
        <v>1</v>
      </c>
      <c r="D35" s="14">
        <f>VLOOKUP(A35,თვითღირებულება!A:AC,15,0)</f>
        <v>0.31</v>
      </c>
      <c r="E35" s="14">
        <f>VLOOKUP(A35,თვითღირებულება!A:AC,12,0)</f>
        <v>0.15</v>
      </c>
      <c r="F35" s="14">
        <f>VLOOKUP(A35,თვითღირებულება!A:AC,11,0)</f>
        <v>3.5</v>
      </c>
      <c r="G35" s="14">
        <f t="shared" si="14"/>
        <v>0.52500000000000002</v>
      </c>
      <c r="H35" s="14">
        <f>VLOOKUP(A35,თვითღირებულება!A:AC,9,0)</f>
        <v>0.27</v>
      </c>
      <c r="I35" s="14">
        <f>VLOOKUP(A35,თვითღირებულება!A:AC,16,0)</f>
        <v>1.1100000000000001</v>
      </c>
      <c r="J35" s="14">
        <f>VLOOKUP(A35,თვითღირებულება!A:AC,17,0)</f>
        <v>0.9879661016949155</v>
      </c>
      <c r="K35" s="14">
        <f>VLOOKUP(A35,[1]Sheet!$A:$G,7,0)</f>
        <v>0</v>
      </c>
      <c r="L35" s="14">
        <f>VLOOKUP(A35,[1]Sheet!$A:$J,10,0)</f>
        <v>1.55</v>
      </c>
      <c r="M35" s="14">
        <f t="shared" si="1"/>
        <v>1.3135593220338984</v>
      </c>
      <c r="N35" s="14">
        <f t="shared" si="15"/>
        <v>0</v>
      </c>
      <c r="O35" s="14">
        <f t="shared" si="16"/>
        <v>0</v>
      </c>
      <c r="P35" s="14">
        <f t="shared" si="17"/>
        <v>0</v>
      </c>
      <c r="Q35" s="14">
        <f t="shared" si="18"/>
        <v>0</v>
      </c>
      <c r="R35" s="14">
        <f t="shared" si="19"/>
        <v>0</v>
      </c>
      <c r="S35" s="14">
        <f t="shared" si="20"/>
        <v>0</v>
      </c>
      <c r="T35" s="14">
        <f t="shared" si="21"/>
        <v>0</v>
      </c>
      <c r="U35" s="14">
        <f t="shared" si="22"/>
        <v>0</v>
      </c>
      <c r="V35" s="14">
        <f t="shared" si="10"/>
        <v>0</v>
      </c>
      <c r="W35" s="14">
        <f t="shared" si="11"/>
        <v>0</v>
      </c>
      <c r="X35" s="14">
        <f t="shared" si="23"/>
        <v>0</v>
      </c>
    </row>
    <row r="36" spans="1:24">
      <c r="A36" t="s">
        <v>10</v>
      </c>
      <c r="B36" s="13" t="str">
        <f>VLOOKUP(A36,თვითღირებულება!A:AC,2,0)</f>
        <v>ღრმა პატარა ლანგარი წითელი</v>
      </c>
      <c r="C36" s="14">
        <f>VLOOKUP(A36,თვითღირებულება!A:AC,6,0)</f>
        <v>1</v>
      </c>
      <c r="D36" s="14">
        <f>VLOOKUP(A36,თვითღირებულება!A:AC,15,0)</f>
        <v>0.31</v>
      </c>
      <c r="E36" s="14">
        <f>VLOOKUP(A36,თვითღირებულება!A:AC,12,0)</f>
        <v>0.15</v>
      </c>
      <c r="F36" s="14">
        <f>VLOOKUP(A36,თვითღირებულება!A:AC,11,0)</f>
        <v>3.5</v>
      </c>
      <c r="G36" s="14">
        <f t="shared" si="14"/>
        <v>0.52500000000000002</v>
      </c>
      <c r="H36" s="14">
        <f>VLOOKUP(A36,თვითღირებულება!A:AC,9,0)</f>
        <v>0.27</v>
      </c>
      <c r="I36" s="14">
        <f>VLOOKUP(A36,თვითღირებულება!A:AC,16,0)</f>
        <v>1.1100000000000001</v>
      </c>
      <c r="J36" s="14">
        <f>VLOOKUP(A36,თვითღირებულება!A:AC,17,0)</f>
        <v>0.9879661016949155</v>
      </c>
      <c r="K36" s="14">
        <f>VLOOKUP(A36,[1]Sheet!$A:$G,7,0)</f>
        <v>0</v>
      </c>
      <c r="L36" s="14">
        <f>VLOOKUP(A36,[1]Sheet!$A:$J,10,0)</f>
        <v>1.55</v>
      </c>
      <c r="M36" s="14">
        <f t="shared" si="1"/>
        <v>1.3135593220338984</v>
      </c>
      <c r="N36" s="14">
        <f t="shared" si="15"/>
        <v>0</v>
      </c>
      <c r="O36" s="14">
        <f t="shared" si="16"/>
        <v>0</v>
      </c>
      <c r="P36" s="14">
        <f t="shared" si="17"/>
        <v>0</v>
      </c>
      <c r="Q36" s="14">
        <f t="shared" si="18"/>
        <v>0</v>
      </c>
      <c r="R36" s="14">
        <f t="shared" si="19"/>
        <v>0</v>
      </c>
      <c r="S36" s="14">
        <f t="shared" si="20"/>
        <v>0</v>
      </c>
      <c r="T36" s="14">
        <f t="shared" si="21"/>
        <v>0</v>
      </c>
      <c r="U36" s="14">
        <f t="shared" si="22"/>
        <v>0</v>
      </c>
      <c r="V36" s="14">
        <f t="shared" si="10"/>
        <v>0</v>
      </c>
      <c r="W36" s="14">
        <f t="shared" si="11"/>
        <v>0</v>
      </c>
      <c r="X36" s="14">
        <f t="shared" si="23"/>
        <v>0</v>
      </c>
    </row>
    <row r="37" spans="1:24">
      <c r="A37" t="s">
        <v>130</v>
      </c>
      <c r="B37" s="13" t="str">
        <f>VLOOKUP(A37,თვითღირებულება!A:AC,2,0)</f>
        <v>პლასტმასის სერვირების ლანგარი ლურჯი</v>
      </c>
      <c r="C37" s="14">
        <f>VLOOKUP(A37,თვითღირებულება!A:AC,6,0)</f>
        <v>1</v>
      </c>
      <c r="D37" s="14">
        <f>VLOOKUP(A37,თვითღირებულება!A:AC,15,0)</f>
        <v>0.31</v>
      </c>
      <c r="E37" s="14">
        <f>VLOOKUP(A37,თვითღირებულება!A:AC,12,0)</f>
        <v>0.39</v>
      </c>
      <c r="F37" s="14">
        <f>VLOOKUP(A37,თვითღირებულება!A:AC,11,0)</f>
        <v>3.5</v>
      </c>
      <c r="G37" s="14">
        <f t="shared" si="14"/>
        <v>1.365</v>
      </c>
      <c r="H37" s="14">
        <f>VLOOKUP(A37,თვითღირებულება!A:AC,9,0)</f>
        <v>0.37</v>
      </c>
      <c r="I37" s="14">
        <f>VLOOKUP(A37,თვითღირებულება!A:AC,16,0)</f>
        <v>2.0499999999999998</v>
      </c>
      <c r="J37" s="14">
        <f>VLOOKUP(A37,თვითღირებულება!A:AC,17,0)</f>
        <v>1.7845762711864406</v>
      </c>
      <c r="K37" s="14">
        <f>VLOOKUP(A37,[1]Sheet!$A:$G,7,0)</f>
        <v>10</v>
      </c>
      <c r="L37" s="14">
        <f>VLOOKUP(A37,[1]Sheet!$A:$J,10,0)</f>
        <v>2.75</v>
      </c>
      <c r="M37" s="14">
        <f t="shared" si="1"/>
        <v>2.3305084745762712</v>
      </c>
      <c r="N37" s="14">
        <f t="shared" si="15"/>
        <v>10</v>
      </c>
      <c r="O37" s="14">
        <f t="shared" si="16"/>
        <v>3.7</v>
      </c>
      <c r="P37" s="14">
        <f t="shared" si="17"/>
        <v>2.0833333333333332E-2</v>
      </c>
      <c r="Q37" s="14">
        <f t="shared" si="18"/>
        <v>3.1</v>
      </c>
      <c r="R37" s="14">
        <f t="shared" si="19"/>
        <v>3.9000000000000004</v>
      </c>
      <c r="S37" s="14">
        <f t="shared" si="20"/>
        <v>13.650000000000002</v>
      </c>
      <c r="T37" s="14">
        <f t="shared" si="21"/>
        <v>20.5</v>
      </c>
      <c r="U37" s="14">
        <f t="shared" si="22"/>
        <v>17.845762711864406</v>
      </c>
      <c r="V37" s="14">
        <f t="shared" si="10"/>
        <v>27.5</v>
      </c>
      <c r="W37" s="14">
        <f t="shared" si="11"/>
        <v>23.305084745762713</v>
      </c>
      <c r="X37" s="14">
        <f t="shared" si="23"/>
        <v>5.4593220338983066</v>
      </c>
    </row>
    <row r="38" spans="1:24">
      <c r="A38" t="s">
        <v>132</v>
      </c>
      <c r="B38" s="13" t="str">
        <f>VLOOKUP(A38,თვითღირებულება!A:AC,2,0)</f>
        <v>პლასტმასის სერვირების ლანგარი მწვანე</v>
      </c>
      <c r="C38" s="14">
        <f>VLOOKUP(A38,თვითღირებულება!A:AC,6,0)</f>
        <v>1</v>
      </c>
      <c r="D38" s="14">
        <f>VLOOKUP(A38,თვითღირებულება!A:AC,15,0)</f>
        <v>0.31</v>
      </c>
      <c r="E38" s="14">
        <f>VLOOKUP(A38,თვითღირებულება!A:AC,12,0)</f>
        <v>0.39</v>
      </c>
      <c r="F38" s="14">
        <f>VLOOKUP(A38,თვითღირებულება!A:AC,11,0)</f>
        <v>3.5</v>
      </c>
      <c r="G38" s="14">
        <f t="shared" si="14"/>
        <v>1.365</v>
      </c>
      <c r="H38" s="14">
        <f>VLOOKUP(A38,თვითღირებულება!A:AC,9,0)</f>
        <v>0.37</v>
      </c>
      <c r="I38" s="14">
        <f>VLOOKUP(A38,თვითღირებულება!A:AC,16,0)</f>
        <v>2.0499999999999998</v>
      </c>
      <c r="J38" s="14">
        <f>VLOOKUP(A38,თვითღირებულება!A:AC,17,0)</f>
        <v>1.7845762711864406</v>
      </c>
      <c r="K38" s="14">
        <f>VLOOKUP(A38,[1]Sheet!$A:$G,7,0)</f>
        <v>10</v>
      </c>
      <c r="L38" s="14">
        <f>VLOOKUP(A38,[1]Sheet!$A:$J,10,0)</f>
        <v>2.75</v>
      </c>
      <c r="M38" s="14">
        <f t="shared" si="1"/>
        <v>2.3305084745762712</v>
      </c>
      <c r="N38" s="14">
        <f t="shared" si="15"/>
        <v>10</v>
      </c>
      <c r="O38" s="14">
        <f t="shared" si="16"/>
        <v>3.7</v>
      </c>
      <c r="P38" s="14">
        <f t="shared" si="17"/>
        <v>2.0833333333333332E-2</v>
      </c>
      <c r="Q38" s="14">
        <f t="shared" si="18"/>
        <v>3.1</v>
      </c>
      <c r="R38" s="14">
        <f t="shared" si="19"/>
        <v>3.9000000000000004</v>
      </c>
      <c r="S38" s="14">
        <f t="shared" si="20"/>
        <v>13.650000000000002</v>
      </c>
      <c r="T38" s="14">
        <f t="shared" si="21"/>
        <v>20.5</v>
      </c>
      <c r="U38" s="14">
        <f t="shared" si="22"/>
        <v>17.845762711864406</v>
      </c>
      <c r="V38" s="14">
        <f t="shared" si="10"/>
        <v>27.5</v>
      </c>
      <c r="W38" s="14">
        <f t="shared" si="11"/>
        <v>23.305084745762713</v>
      </c>
      <c r="X38" s="14">
        <f t="shared" si="23"/>
        <v>5.4593220338983066</v>
      </c>
    </row>
    <row r="39" spans="1:24">
      <c r="A39" t="s">
        <v>128</v>
      </c>
      <c r="B39" s="13" t="str">
        <f>VLOOKUP(A39,თვითღირებულება!A:AC,2,0)</f>
        <v>პლასტმასის სერვირების ლანგარი იასამნისფერი</v>
      </c>
      <c r="C39" s="14">
        <f>VLOOKUP(A39,თვითღირებულება!A:AC,6,0)</f>
        <v>1</v>
      </c>
      <c r="D39" s="14">
        <f>VLOOKUP(A39,თვითღირებულება!A:AC,15,0)</f>
        <v>0.31</v>
      </c>
      <c r="E39" s="14">
        <f>VLOOKUP(A39,თვითღირებულება!A:AC,12,0)</f>
        <v>0.39</v>
      </c>
      <c r="F39" s="14">
        <f>VLOOKUP(A39,თვითღირებულება!A:AC,11,0)</f>
        <v>3.5</v>
      </c>
      <c r="G39" s="14">
        <f t="shared" si="14"/>
        <v>1.365</v>
      </c>
      <c r="H39" s="14">
        <f>VLOOKUP(A39,თვითღირებულება!A:AC,9,0)</f>
        <v>0.37</v>
      </c>
      <c r="I39" s="14">
        <f>VLOOKUP(A39,თვითღირებულება!A:AC,16,0)</f>
        <v>2.0499999999999998</v>
      </c>
      <c r="J39" s="14">
        <f>VLOOKUP(A39,თვითღირებულება!A:AC,17,0)</f>
        <v>1.7845762711864406</v>
      </c>
      <c r="K39" s="14">
        <f>VLOOKUP(A39,[1]Sheet!$A:$G,7,0)</f>
        <v>10</v>
      </c>
      <c r="L39" s="14">
        <f>VLOOKUP(A39,[1]Sheet!$A:$J,10,0)</f>
        <v>2.75</v>
      </c>
      <c r="M39" s="14">
        <f t="shared" si="1"/>
        <v>2.3305084745762712</v>
      </c>
      <c r="N39" s="14">
        <f t="shared" si="15"/>
        <v>10</v>
      </c>
      <c r="O39" s="14">
        <f t="shared" si="16"/>
        <v>3.7</v>
      </c>
      <c r="P39" s="14">
        <f t="shared" si="17"/>
        <v>2.0833333333333332E-2</v>
      </c>
      <c r="Q39" s="14">
        <f t="shared" si="18"/>
        <v>3.1</v>
      </c>
      <c r="R39" s="14">
        <f t="shared" si="19"/>
        <v>3.9000000000000004</v>
      </c>
      <c r="S39" s="14">
        <f t="shared" si="20"/>
        <v>13.650000000000002</v>
      </c>
      <c r="T39" s="14">
        <f t="shared" si="21"/>
        <v>20.5</v>
      </c>
      <c r="U39" s="14">
        <f t="shared" si="22"/>
        <v>17.845762711864406</v>
      </c>
      <c r="V39" s="14">
        <f t="shared" si="10"/>
        <v>27.5</v>
      </c>
      <c r="W39" s="14">
        <f t="shared" si="11"/>
        <v>23.305084745762713</v>
      </c>
      <c r="X39" s="14">
        <f t="shared" si="23"/>
        <v>5.4593220338983066</v>
      </c>
    </row>
    <row r="40" spans="1:24">
      <c r="A40" t="s">
        <v>110</v>
      </c>
      <c r="B40" s="13" t="str">
        <f>VLOOKUP(A40,თვითღირებულება!A:AC,2,0)</f>
        <v>საწური ლურჯი</v>
      </c>
      <c r="C40" s="14">
        <f>VLOOKUP(A40,თვითღირებულება!A:AC,6,0)</f>
        <v>1.3</v>
      </c>
      <c r="D40" s="14">
        <f>VLOOKUP(A40,თვითღირებულება!A:AC,15,0)</f>
        <v>0.41</v>
      </c>
      <c r="E40" s="14">
        <f>VLOOKUP(A40,თვითღირებულება!A:AC,12,0)</f>
        <v>0.13</v>
      </c>
      <c r="F40" s="14">
        <f>VLOOKUP(A40,თვითღირებულება!A:AC,11,0)</f>
        <v>3.5</v>
      </c>
      <c r="G40" s="14">
        <f t="shared" si="14"/>
        <v>0.45500000000000002</v>
      </c>
      <c r="H40" s="14">
        <f>VLOOKUP(A40,თვითღირებულება!A:AC,9,0)</f>
        <v>0.49</v>
      </c>
      <c r="I40" s="14">
        <f>VLOOKUP(A40,თვითღირებულება!A:AC,16,0)</f>
        <v>1.36</v>
      </c>
      <c r="J40" s="14">
        <f>VLOOKUP(A40,თვითღირებულება!A:AC,17,0)</f>
        <v>1.2150847457627121</v>
      </c>
      <c r="K40" s="14">
        <f>VLOOKUP(A40,[1]Sheet!$A:$G,7,0)</f>
        <v>10</v>
      </c>
      <c r="L40" s="14">
        <f>VLOOKUP(A40,[1]Sheet!$A:$J,10,0)</f>
        <v>3</v>
      </c>
      <c r="M40" s="14">
        <f t="shared" si="1"/>
        <v>2.5423728813559325</v>
      </c>
      <c r="N40" s="14">
        <f t="shared" si="15"/>
        <v>13</v>
      </c>
      <c r="O40" s="14">
        <f t="shared" si="16"/>
        <v>4.9000000000000004</v>
      </c>
      <c r="P40" s="14">
        <f t="shared" si="17"/>
        <v>2.7083333333333334E-2</v>
      </c>
      <c r="Q40" s="14">
        <f t="shared" si="18"/>
        <v>4.0999999999999996</v>
      </c>
      <c r="R40" s="14">
        <f t="shared" si="19"/>
        <v>1.3</v>
      </c>
      <c r="S40" s="14">
        <f t="shared" si="20"/>
        <v>4.55</v>
      </c>
      <c r="T40" s="14">
        <f t="shared" si="21"/>
        <v>13.600000000000001</v>
      </c>
      <c r="U40" s="14">
        <f t="shared" si="22"/>
        <v>12.150847457627121</v>
      </c>
      <c r="V40" s="14">
        <f t="shared" si="10"/>
        <v>30</v>
      </c>
      <c r="W40" s="14">
        <f t="shared" si="11"/>
        <v>25.423728813559322</v>
      </c>
      <c r="X40" s="14">
        <f t="shared" si="23"/>
        <v>13.272881355932201</v>
      </c>
    </row>
    <row r="41" spans="1:24">
      <c r="A41" t="s">
        <v>108</v>
      </c>
      <c r="B41" s="13" t="str">
        <f>VLOOKUP(A41,თვითღირებულება!A:AC,2,0)</f>
        <v>საწური მწვანე</v>
      </c>
      <c r="C41" s="14">
        <f>VLOOKUP(A41,თვითღირებულება!A:AC,6,0)</f>
        <v>1.3</v>
      </c>
      <c r="D41" s="14">
        <f>VLOOKUP(A41,თვითღირებულება!A:AC,15,0)</f>
        <v>0.41</v>
      </c>
      <c r="E41" s="14">
        <f>VLOOKUP(A41,თვითღირებულება!A:AC,12,0)</f>
        <v>0.13</v>
      </c>
      <c r="F41" s="14">
        <f>VLOOKUP(A41,თვითღირებულება!A:AC,11,0)</f>
        <v>3.5</v>
      </c>
      <c r="G41" s="14">
        <f t="shared" si="14"/>
        <v>0.45500000000000002</v>
      </c>
      <c r="H41" s="14">
        <f>VLOOKUP(A41,თვითღირებულება!A:AC,9,0)</f>
        <v>0.49</v>
      </c>
      <c r="I41" s="14">
        <f>VLOOKUP(A41,თვითღირებულება!A:AC,16,0)</f>
        <v>1.36</v>
      </c>
      <c r="J41" s="14">
        <f>VLOOKUP(A41,თვითღირებულება!A:AC,17,0)</f>
        <v>1.2150847457627121</v>
      </c>
      <c r="K41" s="14">
        <f>VLOOKUP(A41,[1]Sheet!$A:$G,7,0)</f>
        <v>10</v>
      </c>
      <c r="L41" s="14">
        <f>VLOOKUP(A41,[1]Sheet!$A:$J,10,0)</f>
        <v>3</v>
      </c>
      <c r="M41" s="14">
        <f t="shared" si="1"/>
        <v>2.5423728813559325</v>
      </c>
      <c r="N41" s="14">
        <f t="shared" si="15"/>
        <v>13</v>
      </c>
      <c r="O41" s="14">
        <f t="shared" si="16"/>
        <v>4.9000000000000004</v>
      </c>
      <c r="P41" s="14">
        <f t="shared" si="17"/>
        <v>2.7083333333333334E-2</v>
      </c>
      <c r="Q41" s="14">
        <f t="shared" si="18"/>
        <v>4.0999999999999996</v>
      </c>
      <c r="R41" s="14">
        <f t="shared" si="19"/>
        <v>1.3</v>
      </c>
      <c r="S41" s="14">
        <f t="shared" si="20"/>
        <v>4.55</v>
      </c>
      <c r="T41" s="14">
        <f t="shared" si="21"/>
        <v>13.600000000000001</v>
      </c>
      <c r="U41" s="14">
        <f t="shared" si="22"/>
        <v>12.150847457627121</v>
      </c>
      <c r="V41" s="14">
        <f t="shared" si="10"/>
        <v>30</v>
      </c>
      <c r="W41" s="14">
        <f t="shared" si="11"/>
        <v>25.423728813559322</v>
      </c>
      <c r="X41" s="14">
        <f t="shared" si="23"/>
        <v>13.272881355932201</v>
      </c>
    </row>
    <row r="42" spans="1:24">
      <c r="A42" t="s">
        <v>112</v>
      </c>
      <c r="B42" s="13" t="str">
        <f>VLOOKUP(A42,თვითღირებულება!A:AC,2,0)</f>
        <v>საწური იასამნისფერი</v>
      </c>
      <c r="C42" s="14">
        <f>VLOOKUP(A42,თვითღირებულება!A:AC,6,0)</f>
        <v>1.3</v>
      </c>
      <c r="D42" s="14">
        <f>VLOOKUP(A42,თვითღირებულება!A:AC,15,0)</f>
        <v>0.41</v>
      </c>
      <c r="E42" s="14">
        <f>VLOOKUP(A42,თვითღირებულება!A:AC,12,0)</f>
        <v>0.13</v>
      </c>
      <c r="F42" s="14">
        <f>VLOOKUP(A42,თვითღირებულება!A:AC,11,0)</f>
        <v>3.5</v>
      </c>
      <c r="G42" s="14">
        <f t="shared" si="14"/>
        <v>0.45500000000000002</v>
      </c>
      <c r="H42" s="14">
        <f>VLOOKUP(A42,თვითღირებულება!A:AC,9,0)</f>
        <v>0.49</v>
      </c>
      <c r="I42" s="14">
        <f>VLOOKUP(A42,თვითღირებულება!A:AC,16,0)</f>
        <v>1.36</v>
      </c>
      <c r="J42" s="14">
        <f>VLOOKUP(A42,თვითღირებულება!A:AC,17,0)</f>
        <v>1.2150847457627121</v>
      </c>
      <c r="K42" s="14">
        <f>VLOOKUP(A42,[1]Sheet!$A:$G,7,0)</f>
        <v>0</v>
      </c>
      <c r="L42" s="14">
        <f>VLOOKUP(A42,[1]Sheet!$A:$J,10,0)</f>
        <v>3</v>
      </c>
      <c r="M42" s="14">
        <f t="shared" si="1"/>
        <v>2.5423728813559325</v>
      </c>
      <c r="N42" s="14">
        <f t="shared" si="15"/>
        <v>0</v>
      </c>
      <c r="O42" s="14">
        <f t="shared" si="16"/>
        <v>0</v>
      </c>
      <c r="P42" s="14">
        <f t="shared" si="17"/>
        <v>0</v>
      </c>
      <c r="Q42" s="14">
        <f t="shared" si="18"/>
        <v>0</v>
      </c>
      <c r="R42" s="14">
        <f t="shared" si="19"/>
        <v>0</v>
      </c>
      <c r="S42" s="14">
        <f t="shared" si="20"/>
        <v>0</v>
      </c>
      <c r="T42" s="14">
        <f t="shared" si="21"/>
        <v>0</v>
      </c>
      <c r="U42" s="14">
        <f t="shared" si="22"/>
        <v>0</v>
      </c>
      <c r="V42" s="14">
        <f t="shared" si="10"/>
        <v>0</v>
      </c>
      <c r="W42" s="14">
        <f t="shared" si="11"/>
        <v>0</v>
      </c>
      <c r="X42" s="14">
        <f t="shared" si="23"/>
        <v>0</v>
      </c>
    </row>
    <row r="43" spans="1:24">
      <c r="A43" t="s">
        <v>106</v>
      </c>
      <c r="B43" s="13" t="str">
        <f>VLOOKUP(A43,თვითღირებულება!A:AC,2,0)</f>
        <v>საწური წითელი</v>
      </c>
      <c r="C43" s="14">
        <f>VLOOKUP(A43,თვითღირებულება!A:AC,6,0)</f>
        <v>1.3</v>
      </c>
      <c r="D43" s="14">
        <f>VLOOKUP(A43,თვითღირებულება!A:AC,15,0)</f>
        <v>0.41</v>
      </c>
      <c r="E43" s="14">
        <f>VLOOKUP(A43,თვითღირებულება!A:AC,12,0)</f>
        <v>0.13</v>
      </c>
      <c r="F43" s="14">
        <f>VLOOKUP(A43,თვითღირებულება!A:AC,11,0)</f>
        <v>3.5</v>
      </c>
      <c r="G43" s="14">
        <f t="shared" si="14"/>
        <v>0.45500000000000002</v>
      </c>
      <c r="H43" s="14">
        <f>VLOOKUP(A43,თვითღირებულება!A:AC,9,0)</f>
        <v>0.49</v>
      </c>
      <c r="I43" s="14">
        <f>VLOOKUP(A43,თვითღირებულება!A:AC,16,0)</f>
        <v>1.36</v>
      </c>
      <c r="J43" s="14">
        <f>VLOOKUP(A43,თვითღირებულება!A:AC,17,0)</f>
        <v>1.2150847457627121</v>
      </c>
      <c r="K43" s="14">
        <f>VLOOKUP(A43,[1]Sheet!$A:$G,7,0)</f>
        <v>10</v>
      </c>
      <c r="L43" s="14">
        <f>VLOOKUP(A43,[1]Sheet!$A:$J,10,0)</f>
        <v>3</v>
      </c>
      <c r="M43" s="14">
        <f t="shared" si="1"/>
        <v>2.5423728813559325</v>
      </c>
      <c r="N43" s="14">
        <f t="shared" si="15"/>
        <v>13</v>
      </c>
      <c r="O43" s="14">
        <f t="shared" si="16"/>
        <v>4.9000000000000004</v>
      </c>
      <c r="P43" s="14">
        <f t="shared" si="17"/>
        <v>2.7083333333333334E-2</v>
      </c>
      <c r="Q43" s="14">
        <f t="shared" si="18"/>
        <v>4.0999999999999996</v>
      </c>
      <c r="R43" s="14">
        <f t="shared" si="19"/>
        <v>1.3</v>
      </c>
      <c r="S43" s="14">
        <f t="shared" si="20"/>
        <v>4.55</v>
      </c>
      <c r="T43" s="14">
        <f t="shared" si="21"/>
        <v>13.600000000000001</v>
      </c>
      <c r="U43" s="14">
        <f t="shared" si="22"/>
        <v>12.150847457627121</v>
      </c>
      <c r="V43" s="14">
        <f t="shared" si="10"/>
        <v>30</v>
      </c>
      <c r="W43" s="14">
        <f t="shared" si="11"/>
        <v>25.423728813559322</v>
      </c>
      <c r="X43" s="14">
        <f>W43-U43</f>
        <v>13.272881355932201</v>
      </c>
    </row>
    <row r="44" spans="1:24">
      <c r="A44" t="s">
        <v>201</v>
      </c>
      <c r="B44" s="13" t="str">
        <f>VLOOKUP(A44,თვითღირებულება!A:AC,2,0)</f>
        <v xml:space="preserve"> პლასტმასის ანატომიური სავარძელი ლურჯი</v>
      </c>
      <c r="C44" s="14">
        <f>VLOOKUP(A44,თვითღირებულება!A:AC,6,0)</f>
        <v>1.8</v>
      </c>
      <c r="D44" s="14">
        <f>VLOOKUP(A44,თვითღირებულება!A:AC,15,0)</f>
        <v>0.56000000000000005</v>
      </c>
      <c r="E44" s="14">
        <f>VLOOKUP(A44,თვითღირებულება!A:AC,12,0)</f>
        <v>1.27</v>
      </c>
      <c r="F44" s="14">
        <f>VLOOKUP(A44,თვითღირებულება!A:AC,11,0)</f>
        <v>6.65</v>
      </c>
      <c r="G44" s="14">
        <f t="shared" si="14"/>
        <v>8.4455000000000009</v>
      </c>
      <c r="H44" s="14">
        <f>VLOOKUP(A44,თვითღირებულება!A:AC,9,0)</f>
        <v>1.1499999999999999</v>
      </c>
      <c r="I44" s="14">
        <f>VLOOKUP(A44,თვითღირებულება!A:AC,16,0)</f>
        <v>10.16</v>
      </c>
      <c r="J44" s="14">
        <f>VLOOKUP(A44,თვითღირებულება!A:AC,17,0)</f>
        <v>8.695593220338985</v>
      </c>
      <c r="K44" s="14">
        <f>VLOOKUP(A44,[1]Sheet!$A:$G,7,0)</f>
        <v>0</v>
      </c>
      <c r="L44" s="14">
        <f>VLOOKUP(A44,[1]Sheet!$A:$J,10,0)</f>
        <v>25</v>
      </c>
      <c r="M44" s="14">
        <f t="shared" si="1"/>
        <v>21.186440677966104</v>
      </c>
      <c r="N44" s="14">
        <f t="shared" si="15"/>
        <v>0</v>
      </c>
      <c r="O44" s="14">
        <f t="shared" si="16"/>
        <v>0</v>
      </c>
      <c r="P44" s="14">
        <f t="shared" si="17"/>
        <v>0</v>
      </c>
      <c r="Q44" s="14">
        <f t="shared" si="18"/>
        <v>0</v>
      </c>
      <c r="R44" s="14">
        <f t="shared" si="19"/>
        <v>0</v>
      </c>
      <c r="S44" s="14">
        <f t="shared" si="20"/>
        <v>0</v>
      </c>
      <c r="T44" s="14">
        <f t="shared" si="21"/>
        <v>0</v>
      </c>
      <c r="U44" s="14">
        <f t="shared" si="22"/>
        <v>0</v>
      </c>
      <c r="V44" s="14">
        <f t="shared" si="10"/>
        <v>0</v>
      </c>
      <c r="W44" s="14">
        <f t="shared" si="11"/>
        <v>0</v>
      </c>
      <c r="X44" s="14">
        <f t="shared" si="23"/>
        <v>0</v>
      </c>
    </row>
    <row r="45" spans="1:24">
      <c r="A45" t="s">
        <v>207</v>
      </c>
      <c r="B45" s="13" t="str">
        <f>VLOOKUP(A45,თვითღირებულება!A:AC,2,0)</f>
        <v xml:space="preserve"> პლასტმასის ანატომიური სავარძელი მწვანე</v>
      </c>
      <c r="C45" s="14">
        <f>VLOOKUP(A45,თვითღირებულება!A:AC,6,0)</f>
        <v>1.8</v>
      </c>
      <c r="D45" s="14">
        <f>VLOOKUP(A45,თვითღირებულება!A:AC,15,0)</f>
        <v>0.56000000000000005</v>
      </c>
      <c r="E45" s="14">
        <f>VLOOKUP(A45,თვითღირებულება!A:AC,12,0)</f>
        <v>1.27</v>
      </c>
      <c r="F45" s="14">
        <f>VLOOKUP(A45,თვითღირებულება!A:AC,11,0)</f>
        <v>6.65</v>
      </c>
      <c r="G45" s="14">
        <f t="shared" si="14"/>
        <v>8.4455000000000009</v>
      </c>
      <c r="H45" s="14">
        <f>VLOOKUP(A45,თვითღირებულება!A:AC,9,0)</f>
        <v>1.1499999999999999</v>
      </c>
      <c r="I45" s="14">
        <f>VLOOKUP(A45,თვითღირებულება!A:AC,16,0)</f>
        <v>10.16</v>
      </c>
      <c r="J45" s="14">
        <f>VLOOKUP(A45,თვითღირებულება!A:AC,17,0)</f>
        <v>8.695593220338985</v>
      </c>
      <c r="K45" s="14">
        <f>VLOOKUP(A45,[1]Sheet!$A:$G,7,0)</f>
        <v>0</v>
      </c>
      <c r="L45" s="14">
        <f>VLOOKUP(A45,[1]Sheet!$A:$J,10,0)</f>
        <v>25</v>
      </c>
      <c r="M45" s="14">
        <f t="shared" si="1"/>
        <v>21.186440677966104</v>
      </c>
      <c r="N45" s="14">
        <f t="shared" si="15"/>
        <v>0</v>
      </c>
      <c r="O45" s="14">
        <f t="shared" si="16"/>
        <v>0</v>
      </c>
      <c r="P45" s="14">
        <f t="shared" si="17"/>
        <v>0</v>
      </c>
      <c r="Q45" s="14">
        <f t="shared" si="18"/>
        <v>0</v>
      </c>
      <c r="R45" s="14">
        <f t="shared" si="19"/>
        <v>0</v>
      </c>
      <c r="S45" s="14">
        <f t="shared" si="20"/>
        <v>0</v>
      </c>
      <c r="T45" s="14">
        <f t="shared" si="21"/>
        <v>0</v>
      </c>
      <c r="U45" s="14">
        <f t="shared" si="22"/>
        <v>0</v>
      </c>
      <c r="V45" s="14">
        <f t="shared" si="10"/>
        <v>0</v>
      </c>
      <c r="W45" s="14">
        <f t="shared" si="11"/>
        <v>0</v>
      </c>
      <c r="X45" s="14">
        <f t="shared" si="23"/>
        <v>0</v>
      </c>
    </row>
    <row r="46" spans="1:24">
      <c r="A46" t="s">
        <v>205</v>
      </c>
      <c r="B46" s="13" t="str">
        <f>VLOOKUP(A46,თვითღირებულება!A:AC,2,0)</f>
        <v>პლასტმასის ანატომიური სავარძელი თეთრი</v>
      </c>
      <c r="C46" s="14">
        <f>VLOOKUP(A46,თვითღირებულება!A:AC,6,0)</f>
        <v>1.8</v>
      </c>
      <c r="D46" s="14">
        <f>VLOOKUP(A46,თვითღირებულება!A:AC,15,0)</f>
        <v>0.56000000000000005</v>
      </c>
      <c r="E46" s="14">
        <f>VLOOKUP(A46,თვითღირებულება!A:AC,12,0)</f>
        <v>1.27</v>
      </c>
      <c r="F46" s="14">
        <f>VLOOKUP(A46,თვითღირებულება!A:AC,11,0)</f>
        <v>6.65</v>
      </c>
      <c r="G46" s="14">
        <f t="shared" si="14"/>
        <v>8.4455000000000009</v>
      </c>
      <c r="H46" s="14">
        <f>VLOOKUP(A46,თვითღირებულება!A:AC,9,0)</f>
        <v>1.1499999999999999</v>
      </c>
      <c r="I46" s="14">
        <f>VLOOKUP(A46,თვითღირებულება!A:AC,16,0)</f>
        <v>10.16</v>
      </c>
      <c r="J46" s="14">
        <f>VLOOKUP(A46,თვითღირებულება!A:AC,17,0)</f>
        <v>8.695593220338985</v>
      </c>
      <c r="K46" s="14">
        <f>VLOOKUP(A46,[1]Sheet!$A:$G,7,0)</f>
        <v>0</v>
      </c>
      <c r="L46" s="14">
        <f>VLOOKUP(A46,[1]Sheet!$A:$J,10,0)</f>
        <v>25</v>
      </c>
      <c r="M46" s="14">
        <f t="shared" si="1"/>
        <v>21.186440677966104</v>
      </c>
      <c r="N46" s="14">
        <f t="shared" si="15"/>
        <v>0</v>
      </c>
      <c r="O46" s="14">
        <f t="shared" si="16"/>
        <v>0</v>
      </c>
      <c r="P46" s="14">
        <f t="shared" si="17"/>
        <v>0</v>
      </c>
      <c r="Q46" s="14">
        <f t="shared" si="18"/>
        <v>0</v>
      </c>
      <c r="R46" s="14">
        <f t="shared" si="19"/>
        <v>0</v>
      </c>
      <c r="S46" s="14">
        <f t="shared" si="20"/>
        <v>0</v>
      </c>
      <c r="T46" s="14">
        <f t="shared" si="21"/>
        <v>0</v>
      </c>
      <c r="U46" s="14">
        <f t="shared" si="22"/>
        <v>0</v>
      </c>
      <c r="V46" s="14">
        <f t="shared" si="10"/>
        <v>0</v>
      </c>
      <c r="W46" s="14">
        <f t="shared" si="11"/>
        <v>0</v>
      </c>
      <c r="X46" s="14">
        <f t="shared" si="23"/>
        <v>0</v>
      </c>
    </row>
    <row r="47" spans="1:24">
      <c r="A47" t="s">
        <v>72</v>
      </c>
      <c r="B47" s="13" t="str">
        <f>VLOOKUP(A47,თვითღირებულება!A:AC,2,0)</f>
        <v>დეკორატიული ღობე</v>
      </c>
      <c r="C47" s="14">
        <f>VLOOKUP(A47,თვითღირებულება!A:AC,6,0)</f>
        <v>1.8</v>
      </c>
      <c r="D47" s="14">
        <f>VLOOKUP(A47,თვითღირებულება!A:AC,15,0)</f>
        <v>0.56000000000000005</v>
      </c>
      <c r="E47" s="14">
        <f>VLOOKUP(A47,თვითღირებულება!A:AC,12,0)</f>
        <v>1.29</v>
      </c>
      <c r="F47" s="14">
        <f>VLOOKUP(A47,თვითღირებულება!A:AC,11,0)</f>
        <v>3.5</v>
      </c>
      <c r="G47" s="14">
        <f t="shared" si="14"/>
        <v>4.5150000000000006</v>
      </c>
      <c r="H47" s="14">
        <f>VLOOKUP(A47,თვითღირებულება!A:AC,9,0)</f>
        <v>1.1499999999999999</v>
      </c>
      <c r="I47" s="14">
        <f>VLOOKUP(A47,თვითღირებულება!A:AC,16,0)</f>
        <v>6.23</v>
      </c>
      <c r="J47" s="14">
        <f>VLOOKUP(A47,თვითღირებულება!A:AC,17,0)</f>
        <v>5.3650847457627133</v>
      </c>
      <c r="K47" s="14">
        <f>VLOOKUP(A47,[1]Sheet!$A:$G,7,0)</f>
        <v>1</v>
      </c>
      <c r="L47" s="14">
        <f>VLOOKUP(A47,[1]Sheet!$A:$J,10,0)</f>
        <v>13</v>
      </c>
      <c r="M47" s="14">
        <f t="shared" si="1"/>
        <v>11.016949152542374</v>
      </c>
      <c r="N47" s="14">
        <f t="shared" si="15"/>
        <v>1.8</v>
      </c>
      <c r="O47" s="14">
        <f t="shared" si="16"/>
        <v>1.1499999999999999</v>
      </c>
      <c r="P47" s="14">
        <f t="shared" si="17"/>
        <v>3.7500000000000003E-3</v>
      </c>
      <c r="Q47" s="14">
        <f t="shared" si="18"/>
        <v>0.56000000000000005</v>
      </c>
      <c r="R47" s="14">
        <f t="shared" si="19"/>
        <v>1.29</v>
      </c>
      <c r="S47" s="14">
        <f t="shared" si="20"/>
        <v>4.5150000000000006</v>
      </c>
      <c r="T47" s="14">
        <f t="shared" si="21"/>
        <v>6.23</v>
      </c>
      <c r="U47" s="14">
        <f t="shared" si="22"/>
        <v>5.3650847457627133</v>
      </c>
      <c r="V47" s="14">
        <f t="shared" si="10"/>
        <v>13</v>
      </c>
      <c r="W47" s="14">
        <f t="shared" si="11"/>
        <v>11.016949152542374</v>
      </c>
      <c r="X47" s="14">
        <f>W47-U47</f>
        <v>5.6518644067796604</v>
      </c>
    </row>
    <row r="48" spans="1:24">
      <c r="A48" t="s">
        <v>24</v>
      </c>
      <c r="B48" s="13" t="str">
        <f>VLOOKUP(A48,თვითღირებულება!A:AC,2,0)</f>
        <v>პლასტმასის ქვაბი ლურჯი</v>
      </c>
      <c r="C48" s="14">
        <f>VLOOKUP(A48,თვითღირებულება!A:AC,6,0)</f>
        <v>1.3</v>
      </c>
      <c r="D48" s="14">
        <f>VLOOKUP(A48,თვითღირებულება!A:AC,15,0)</f>
        <v>0.41</v>
      </c>
      <c r="E48" s="14">
        <f>VLOOKUP(A48,თვითღირებულება!A:AC,12,0)</f>
        <v>0.2</v>
      </c>
      <c r="F48" s="14">
        <f>VLOOKUP(A48,თვითღირებულება!A:AC,11,0)</f>
        <v>3.5</v>
      </c>
      <c r="G48" s="14">
        <f t="shared" si="14"/>
        <v>0.70000000000000007</v>
      </c>
      <c r="H48" s="14">
        <f>VLOOKUP(A48,თვითღირებულება!A:AC,9,0)</f>
        <v>0.35</v>
      </c>
      <c r="I48" s="14">
        <f>VLOOKUP(A48,თვითღირებულება!A:AC,16,0)</f>
        <v>1.46</v>
      </c>
      <c r="J48" s="14">
        <f>VLOOKUP(A48,თვითღირებულება!A:AC,17,0)</f>
        <v>1.2998305084745763</v>
      </c>
      <c r="K48" s="14">
        <f>VLOOKUP(A48,[1]Sheet!$A:$G,7,0)</f>
        <v>0</v>
      </c>
      <c r="L48" s="14">
        <f>VLOOKUP(A48,[1]Sheet!$A:$J,10,0)</f>
        <v>1.85</v>
      </c>
      <c r="M48" s="14">
        <f t="shared" si="1"/>
        <v>1.5677966101694918</v>
      </c>
      <c r="N48" s="14">
        <f t="shared" si="15"/>
        <v>0</v>
      </c>
      <c r="O48" s="14">
        <f t="shared" si="16"/>
        <v>0</v>
      </c>
      <c r="P48" s="14">
        <f t="shared" si="17"/>
        <v>0</v>
      </c>
      <c r="Q48" s="14">
        <f t="shared" si="18"/>
        <v>0</v>
      </c>
      <c r="R48" s="14">
        <f t="shared" si="19"/>
        <v>0</v>
      </c>
      <c r="S48" s="14">
        <f t="shared" si="20"/>
        <v>0</v>
      </c>
      <c r="T48" s="14">
        <f t="shared" si="21"/>
        <v>0</v>
      </c>
      <c r="U48" s="14">
        <f t="shared" si="22"/>
        <v>0</v>
      </c>
      <c r="V48" s="14">
        <f t="shared" si="10"/>
        <v>0</v>
      </c>
      <c r="W48" s="14">
        <f t="shared" si="11"/>
        <v>0</v>
      </c>
      <c r="X48" s="14">
        <f t="shared" si="23"/>
        <v>0</v>
      </c>
    </row>
    <row r="49" spans="1:24">
      <c r="A49" t="s">
        <v>20</v>
      </c>
      <c r="B49" s="13" t="str">
        <f>VLOOKUP(A49,თვითღირებულება!A:AC,2,0)</f>
        <v>აბაზანა ლურჯი</v>
      </c>
      <c r="C49" s="14">
        <f>VLOOKUP(A49,თვითღირებულება!A:AC,6,0)</f>
        <v>1.7</v>
      </c>
      <c r="D49" s="14">
        <f>VLOOKUP(A49,თვითღირებულება!A:AC,15,0)</f>
        <v>0.53</v>
      </c>
      <c r="E49" s="14">
        <f>VLOOKUP(A49,თვითღირებულება!A:AC,12,0)</f>
        <v>1.02</v>
      </c>
      <c r="F49" s="14">
        <f>VLOOKUP(A49,თვითღირებულება!A:AC,11,0)</f>
        <v>3.5</v>
      </c>
      <c r="G49" s="14">
        <f t="shared" si="14"/>
        <v>3.5700000000000003</v>
      </c>
      <c r="H49" s="14">
        <f>VLOOKUP(A49,თვითღირებულება!A:AC,9,0)</f>
        <v>1.0900000000000001</v>
      </c>
      <c r="I49" s="14">
        <f>VLOOKUP(A49,თვითღირებულება!A:AC,16,0)</f>
        <v>5.19</v>
      </c>
      <c r="J49" s="14">
        <f>VLOOKUP(A49,თვითღირებულება!A:AC,17,0)</f>
        <v>4.4791525423728817</v>
      </c>
      <c r="K49" s="14">
        <f>VLOOKUP(A49,[1]Sheet!$A:$G,7,0)</f>
        <v>0</v>
      </c>
      <c r="L49" s="14">
        <f>VLOOKUP(A49,[1]Sheet!$A:$J,10,0)</f>
        <v>6.2</v>
      </c>
      <c r="M49" s="14">
        <f t="shared" si="1"/>
        <v>5.2542372881355934</v>
      </c>
      <c r="N49" s="14">
        <f t="shared" si="15"/>
        <v>0</v>
      </c>
      <c r="O49" s="14">
        <f t="shared" si="16"/>
        <v>0</v>
      </c>
      <c r="P49" s="14">
        <f t="shared" si="17"/>
        <v>0</v>
      </c>
      <c r="Q49" s="14">
        <f t="shared" si="18"/>
        <v>0</v>
      </c>
      <c r="R49" s="14">
        <f t="shared" si="19"/>
        <v>0</v>
      </c>
      <c r="S49" s="14">
        <f t="shared" si="20"/>
        <v>0</v>
      </c>
      <c r="T49" s="14">
        <f t="shared" si="21"/>
        <v>0</v>
      </c>
      <c r="U49" s="14">
        <f t="shared" si="22"/>
        <v>0</v>
      </c>
      <c r="V49" s="14">
        <f t="shared" si="10"/>
        <v>0</v>
      </c>
      <c r="W49" s="14">
        <f t="shared" si="11"/>
        <v>0</v>
      </c>
      <c r="X49" s="14">
        <f t="shared" si="23"/>
        <v>0</v>
      </c>
    </row>
    <row r="50" spans="1:24">
      <c r="A50" t="s">
        <v>118</v>
      </c>
      <c r="B50" s="13" t="str">
        <f>VLOOKUP(A50,თვითღირებულება!A:AC,2,0)</f>
        <v>ნიჩაბი შავი</v>
      </c>
      <c r="C50" s="14">
        <f>VLOOKUP(A50,თვითღირებულება!A:AC,6,0)</f>
        <v>1.5</v>
      </c>
      <c r="D50" s="14">
        <f>VLOOKUP(A50,თვითღირებულება!A:AC,15,0)</f>
        <v>0.47</v>
      </c>
      <c r="E50" s="14">
        <f>VLOOKUP(A50,თვითღირებულება!A:AC,12,0)</f>
        <v>0.54</v>
      </c>
      <c r="F50" s="14">
        <f>VLOOKUP(A50,თვითღირებულება!A:AC,11,0)</f>
        <v>3.5</v>
      </c>
      <c r="G50" s="14">
        <f t="shared" si="14"/>
        <v>1.8900000000000001</v>
      </c>
      <c r="H50" s="14">
        <f>VLOOKUP(A50,თვითღირებულება!A:AC,9,0)</f>
        <v>0.56000000000000005</v>
      </c>
      <c r="I50" s="14">
        <f>VLOOKUP(A50,თვითღირებულება!A:AC,16,0)</f>
        <v>2.92</v>
      </c>
      <c r="J50" s="14">
        <f>VLOOKUP(A50,თვითღირებულება!A:AC,17,0)</f>
        <v>2.546271186440678</v>
      </c>
      <c r="K50" s="14">
        <f>VLOOKUP(A50,[1]Sheet!$A:$G,7,0)</f>
        <v>19</v>
      </c>
      <c r="L50" s="14">
        <f>VLOOKUP(A50,[1]Sheet!$A:$J,10,0)</f>
        <v>6.5</v>
      </c>
      <c r="M50" s="14">
        <f t="shared" si="1"/>
        <v>5.5084745762711869</v>
      </c>
      <c r="N50" s="14">
        <f t="shared" si="15"/>
        <v>28.5</v>
      </c>
      <c r="O50" s="14">
        <f t="shared" si="16"/>
        <v>10.64</v>
      </c>
      <c r="P50" s="14">
        <f t="shared" si="17"/>
        <v>5.9374999999999997E-2</v>
      </c>
      <c r="Q50" s="14">
        <f t="shared" si="18"/>
        <v>8.93</v>
      </c>
      <c r="R50" s="14">
        <f t="shared" si="19"/>
        <v>10.260000000000002</v>
      </c>
      <c r="S50" s="14">
        <f t="shared" si="20"/>
        <v>35.910000000000004</v>
      </c>
      <c r="T50" s="14">
        <f t="shared" si="21"/>
        <v>55.48</v>
      </c>
      <c r="U50" s="14">
        <f t="shared" si="22"/>
        <v>48.379152542372879</v>
      </c>
      <c r="V50" s="14">
        <f t="shared" si="10"/>
        <v>123.5</v>
      </c>
      <c r="W50" s="14">
        <f t="shared" si="11"/>
        <v>104.66101694915255</v>
      </c>
      <c r="X50" s="14">
        <f>W50-U50</f>
        <v>56.281864406779675</v>
      </c>
    </row>
    <row r="51" spans="1:24">
      <c r="A51" t="s">
        <v>88</v>
      </c>
      <c r="B51" s="13" t="str">
        <f>VLOOKUP(A51,თვითღირებულება!A:AC,2,0)</f>
        <v>პატარა ჯამი ლურჯი - S</v>
      </c>
      <c r="C51" s="14">
        <f>VLOOKUP(A51,თვითღირებულება!A:AC,6,0)</f>
        <v>1.3</v>
      </c>
      <c r="D51" s="14">
        <f>VLOOKUP(A51,თვითღირებულება!A:AC,15,0)</f>
        <v>0.41</v>
      </c>
      <c r="E51" s="14">
        <f>VLOOKUP(A51,თვითღირებულება!A:AC,12,0)</f>
        <v>0.17</v>
      </c>
      <c r="F51" s="14">
        <f>VLOOKUP(A51,თვითღირებულება!A:AC,11,0)</f>
        <v>3.5</v>
      </c>
      <c r="G51" s="14">
        <f t="shared" si="14"/>
        <v>0.59500000000000008</v>
      </c>
      <c r="H51" s="14">
        <f>VLOOKUP(A51,თვითღირებულება!A:AC,9,0)</f>
        <v>0.42</v>
      </c>
      <c r="I51" s="14">
        <f>VLOOKUP(A51,თვითღირებულება!A:AC,16,0)</f>
        <v>1.43</v>
      </c>
      <c r="J51" s="14">
        <f>VLOOKUP(A51,თვითღირებულება!A:AC,17,0)</f>
        <v>1.274406779661017</v>
      </c>
      <c r="K51" s="14">
        <f>VLOOKUP(A51,[1]Sheet!$A:$G,7,0)</f>
        <v>0</v>
      </c>
      <c r="L51" s="14">
        <f>VLOOKUP(A51,[1]Sheet!$A:$J,10,0)</f>
        <v>2.4</v>
      </c>
      <c r="M51" s="14">
        <f t="shared" si="1"/>
        <v>2.0338983050847457</v>
      </c>
      <c r="N51" s="14">
        <f t="shared" si="15"/>
        <v>0</v>
      </c>
      <c r="O51" s="14">
        <f t="shared" si="16"/>
        <v>0</v>
      </c>
      <c r="P51" s="14">
        <f t="shared" si="17"/>
        <v>0</v>
      </c>
      <c r="Q51" s="14">
        <f t="shared" si="18"/>
        <v>0</v>
      </c>
      <c r="R51" s="14">
        <f t="shared" si="19"/>
        <v>0</v>
      </c>
      <c r="S51" s="14">
        <f t="shared" si="20"/>
        <v>0</v>
      </c>
      <c r="T51" s="14">
        <f t="shared" si="21"/>
        <v>0</v>
      </c>
      <c r="U51" s="14">
        <f t="shared" si="22"/>
        <v>0</v>
      </c>
      <c r="V51" s="14">
        <f t="shared" si="10"/>
        <v>0</v>
      </c>
      <c r="W51" s="14">
        <f t="shared" si="11"/>
        <v>0</v>
      </c>
      <c r="X51" s="14">
        <f t="shared" si="23"/>
        <v>0</v>
      </c>
    </row>
    <row r="52" spans="1:24">
      <c r="A52" t="s">
        <v>86</v>
      </c>
      <c r="B52" s="13" t="str">
        <f>VLOOKUP(A52,თვითღირებულება!A:AC,2,0)</f>
        <v>პატარა ჯამი მწვანე- S</v>
      </c>
      <c r="C52" s="14">
        <f>VLOOKUP(A52,თვითღირებულება!A:AC,6,0)</f>
        <v>1.3</v>
      </c>
      <c r="D52" s="14">
        <f>VLOOKUP(A52,თვითღირებულება!A:AC,15,0)</f>
        <v>0.41</v>
      </c>
      <c r="E52" s="14">
        <f>VLOOKUP(A52,თვითღირებულება!A:AC,12,0)</f>
        <v>0.17</v>
      </c>
      <c r="F52" s="14">
        <f>VLOOKUP(A52,თვითღირებულება!A:AC,11,0)</f>
        <v>3.5</v>
      </c>
      <c r="G52" s="14">
        <f t="shared" si="14"/>
        <v>0.59500000000000008</v>
      </c>
      <c r="H52" s="14">
        <f>VLOOKUP(A52,თვითღირებულება!A:AC,9,0)</f>
        <v>0.42</v>
      </c>
      <c r="I52" s="14">
        <f>VLOOKUP(A52,თვითღირებულება!A:AC,16,0)</f>
        <v>1.43</v>
      </c>
      <c r="J52" s="14">
        <f>VLOOKUP(A52,თვითღირებულება!A:AC,17,0)</f>
        <v>1.274406779661017</v>
      </c>
      <c r="K52" s="14">
        <f>VLOOKUP(A52,[1]Sheet!$A:$G,7,0)</f>
        <v>0</v>
      </c>
      <c r="L52" s="14">
        <f>VLOOKUP(A52,[1]Sheet!$A:$J,10,0)</f>
        <v>2.4</v>
      </c>
      <c r="M52" s="14">
        <f t="shared" si="1"/>
        <v>2.0338983050847457</v>
      </c>
      <c r="N52" s="14">
        <f t="shared" si="15"/>
        <v>0</v>
      </c>
      <c r="O52" s="14">
        <f t="shared" si="16"/>
        <v>0</v>
      </c>
      <c r="P52" s="14">
        <f t="shared" si="17"/>
        <v>0</v>
      </c>
      <c r="Q52" s="14">
        <f t="shared" si="18"/>
        <v>0</v>
      </c>
      <c r="R52" s="14">
        <f t="shared" si="19"/>
        <v>0</v>
      </c>
      <c r="S52" s="14">
        <f t="shared" si="20"/>
        <v>0</v>
      </c>
      <c r="T52" s="14">
        <f t="shared" si="21"/>
        <v>0</v>
      </c>
      <c r="U52" s="14">
        <f t="shared" si="22"/>
        <v>0</v>
      </c>
      <c r="V52" s="14">
        <f t="shared" si="10"/>
        <v>0</v>
      </c>
      <c r="W52" s="14">
        <f t="shared" si="11"/>
        <v>0</v>
      </c>
      <c r="X52" s="14">
        <f t="shared" si="23"/>
        <v>0</v>
      </c>
    </row>
    <row r="53" spans="1:24">
      <c r="A53" t="s">
        <v>90</v>
      </c>
      <c r="B53" s="13" t="str">
        <f>VLOOKUP(A53,თვითღირებულება!A:AC,2,0)</f>
        <v>პატარა ჯამი იასამნისფერი - S</v>
      </c>
      <c r="C53" s="14">
        <f>VLOOKUP(A53,თვითღირებულება!A:AC,6,0)</f>
        <v>1.3</v>
      </c>
      <c r="D53" s="14">
        <f>VLOOKUP(A53,თვითღირებულება!A:AC,15,0)</f>
        <v>0.41</v>
      </c>
      <c r="E53" s="14">
        <f>VLOOKUP(A53,თვითღირებულება!A:AC,12,0)</f>
        <v>0.17</v>
      </c>
      <c r="F53" s="14">
        <f>VLOOKUP(A53,თვითღირებულება!A:AC,11,0)</f>
        <v>3.5</v>
      </c>
      <c r="G53" s="14">
        <f t="shared" si="14"/>
        <v>0.59500000000000008</v>
      </c>
      <c r="H53" s="14">
        <f>VLOOKUP(A53,თვითღირებულება!A:AC,9,0)</f>
        <v>0.42</v>
      </c>
      <c r="I53" s="14">
        <f>VLOOKUP(A53,თვითღირებულება!A:AC,16,0)</f>
        <v>1.43</v>
      </c>
      <c r="J53" s="14">
        <f>VLOOKUP(A53,თვითღირებულება!A:AC,17,0)</f>
        <v>1.274406779661017</v>
      </c>
      <c r="K53" s="14">
        <f>VLOOKUP(A53,[1]Sheet!$A:$G,7,0)</f>
        <v>0</v>
      </c>
      <c r="L53" s="14">
        <f>VLOOKUP(A53,[1]Sheet!$A:$J,10,0)</f>
        <v>2.4</v>
      </c>
      <c r="M53" s="14">
        <f t="shared" si="1"/>
        <v>2.0338983050847457</v>
      </c>
      <c r="N53" s="14">
        <f t="shared" si="15"/>
        <v>0</v>
      </c>
      <c r="O53" s="14">
        <f t="shared" si="16"/>
        <v>0</v>
      </c>
      <c r="P53" s="14">
        <f t="shared" si="17"/>
        <v>0</v>
      </c>
      <c r="Q53" s="14">
        <f t="shared" si="18"/>
        <v>0</v>
      </c>
      <c r="R53" s="14">
        <f t="shared" si="19"/>
        <v>0</v>
      </c>
      <c r="S53" s="14">
        <f t="shared" si="20"/>
        <v>0</v>
      </c>
      <c r="T53" s="14">
        <f t="shared" si="21"/>
        <v>0</v>
      </c>
      <c r="U53" s="14">
        <f t="shared" si="22"/>
        <v>0</v>
      </c>
      <c r="V53" s="14">
        <f t="shared" si="10"/>
        <v>0</v>
      </c>
      <c r="W53" s="14">
        <f t="shared" si="11"/>
        <v>0</v>
      </c>
      <c r="X53" s="14">
        <f t="shared" si="23"/>
        <v>0</v>
      </c>
    </row>
    <row r="54" spans="1:24">
      <c r="A54" t="s">
        <v>84</v>
      </c>
      <c r="B54" s="13" t="str">
        <f>VLOOKUP(A54,თვითღირებულება!A:AC,2,0)</f>
        <v>პატარა ჯამი წითელი - S</v>
      </c>
      <c r="C54" s="14">
        <f>VLOOKUP(A54,თვითღირებულება!A:AC,6,0)</f>
        <v>1.3</v>
      </c>
      <c r="D54" s="14">
        <f>VLOOKUP(A54,თვითღირებულება!A:AC,15,0)</f>
        <v>0.41</v>
      </c>
      <c r="E54" s="14">
        <f>VLOOKUP(A54,თვითღირებულება!A:AC,12,0)</f>
        <v>0.17</v>
      </c>
      <c r="F54" s="14">
        <f>VLOOKUP(A54,თვითღირებულება!A:AC,11,0)</f>
        <v>3.5</v>
      </c>
      <c r="G54" s="14">
        <f t="shared" si="14"/>
        <v>0.59500000000000008</v>
      </c>
      <c r="H54" s="14">
        <f>VLOOKUP(A54,თვითღირებულება!A:AC,9,0)</f>
        <v>0.42</v>
      </c>
      <c r="I54" s="14">
        <f>VLOOKUP(A54,თვითღირებულება!A:AC,16,0)</f>
        <v>1.43</v>
      </c>
      <c r="J54" s="14">
        <f>VLOOKUP(A54,თვითღირებულება!A:AC,17,0)</f>
        <v>1.274406779661017</v>
      </c>
      <c r="K54" s="14">
        <f>VLOOKUP(A54,[1]Sheet!$A:$G,7,0)</f>
        <v>0</v>
      </c>
      <c r="L54" s="14">
        <f>VLOOKUP(A54,[1]Sheet!$A:$J,10,0)</f>
        <v>2.4</v>
      </c>
      <c r="M54" s="14">
        <f t="shared" si="1"/>
        <v>2.0338983050847457</v>
      </c>
      <c r="N54" s="14">
        <f t="shared" si="15"/>
        <v>0</v>
      </c>
      <c r="O54" s="14">
        <f t="shared" si="16"/>
        <v>0</v>
      </c>
      <c r="P54" s="14">
        <f t="shared" si="17"/>
        <v>0</v>
      </c>
      <c r="Q54" s="14">
        <f t="shared" si="18"/>
        <v>0</v>
      </c>
      <c r="R54" s="14">
        <f t="shared" si="19"/>
        <v>0</v>
      </c>
      <c r="S54" s="14">
        <f t="shared" si="20"/>
        <v>0</v>
      </c>
      <c r="T54" s="14">
        <f t="shared" si="21"/>
        <v>0</v>
      </c>
      <c r="U54" s="14">
        <f t="shared" si="22"/>
        <v>0</v>
      </c>
      <c r="V54" s="14">
        <f t="shared" si="10"/>
        <v>0</v>
      </c>
      <c r="W54" s="14">
        <f t="shared" si="11"/>
        <v>0</v>
      </c>
      <c r="X54" s="14">
        <f t="shared" si="23"/>
        <v>0</v>
      </c>
    </row>
    <row r="55" spans="1:24">
      <c r="A55" t="s">
        <v>68</v>
      </c>
      <c r="B55" s="13" t="str">
        <f>VLOOKUP(A55,თვითღირებულება!A:AC,2,0)</f>
        <v>დიდი ჯამი ლურჯი - M</v>
      </c>
      <c r="C55" s="14">
        <f>VLOOKUP(A55,თვითღირებულება!A:AC,6,0)</f>
        <v>1.3</v>
      </c>
      <c r="D55" s="14">
        <f>VLOOKUP(A55,თვითღირებულება!A:AC,15,0)</f>
        <v>0.41</v>
      </c>
      <c r="E55" s="14">
        <f>VLOOKUP(A55,თვითღირებულება!A:AC,12,0)</f>
        <v>0.26</v>
      </c>
      <c r="F55" s="14">
        <f>VLOOKUP(A55,თვითღირებულება!A:AC,11,0)</f>
        <v>3.5</v>
      </c>
      <c r="G55" s="14">
        <f t="shared" si="14"/>
        <v>0.91</v>
      </c>
      <c r="H55" s="14">
        <f>VLOOKUP(A55,თვითღირებულება!A:AC,9,0)</f>
        <v>0.42</v>
      </c>
      <c r="I55" s="14">
        <f>VLOOKUP(A55,თვითღირებულება!A:AC,16,0)</f>
        <v>1.74</v>
      </c>
      <c r="J55" s="14">
        <f>VLOOKUP(A55,თვითღირებულება!A:AC,17,0)</f>
        <v>1.5371186440677966</v>
      </c>
      <c r="K55" s="14">
        <f>VLOOKUP(A55,[1]Sheet!$A:$G,7,0)</f>
        <v>0</v>
      </c>
      <c r="L55" s="14">
        <f>VLOOKUP(A55,[1]Sheet!$A:$J,10,0)</f>
        <v>2.65</v>
      </c>
      <c r="M55" s="14">
        <f t="shared" si="1"/>
        <v>2.245762711864407</v>
      </c>
      <c r="N55" s="14">
        <f t="shared" si="15"/>
        <v>0</v>
      </c>
      <c r="O55" s="14">
        <f t="shared" si="16"/>
        <v>0</v>
      </c>
      <c r="P55" s="14">
        <f t="shared" si="17"/>
        <v>0</v>
      </c>
      <c r="Q55" s="14">
        <f t="shared" si="18"/>
        <v>0</v>
      </c>
      <c r="R55" s="14">
        <f t="shared" si="19"/>
        <v>0</v>
      </c>
      <c r="S55" s="14">
        <f t="shared" si="20"/>
        <v>0</v>
      </c>
      <c r="T55" s="14">
        <f t="shared" si="21"/>
        <v>0</v>
      </c>
      <c r="U55" s="14">
        <f t="shared" si="22"/>
        <v>0</v>
      </c>
      <c r="V55" s="14">
        <f t="shared" si="10"/>
        <v>0</v>
      </c>
      <c r="W55" s="14">
        <f t="shared" si="11"/>
        <v>0</v>
      </c>
      <c r="X55" s="14">
        <f t="shared" si="23"/>
        <v>0</v>
      </c>
    </row>
    <row r="56" spans="1:24">
      <c r="A56" t="s">
        <v>70</v>
      </c>
      <c r="B56" s="13" t="str">
        <f>VLOOKUP(A56,თვითღირებულება!A:AC,2,0)</f>
        <v>დიდი ჯამი იასამნისფერი - M</v>
      </c>
      <c r="C56" s="14">
        <f>VLOOKUP(A56,თვითღირებულება!A:AC,6,0)</f>
        <v>1.3</v>
      </c>
      <c r="D56" s="14">
        <f>VLOOKUP(A56,თვითღირებულება!A:AC,15,0)</f>
        <v>0.41</v>
      </c>
      <c r="E56" s="14">
        <f>VLOOKUP(A56,თვითღირებულება!A:AC,12,0)</f>
        <v>0.26</v>
      </c>
      <c r="F56" s="14">
        <f>VLOOKUP(A56,თვითღირებულება!A:AC,11,0)</f>
        <v>3.5</v>
      </c>
      <c r="G56" s="14">
        <f t="shared" si="14"/>
        <v>0.91</v>
      </c>
      <c r="H56" s="14">
        <f>VLOOKUP(A56,თვითღირებულება!A:AC,9,0)</f>
        <v>0.42</v>
      </c>
      <c r="I56" s="14">
        <f>VLOOKUP(A56,თვითღირებულება!A:AC,16,0)</f>
        <v>1.74</v>
      </c>
      <c r="J56" s="14">
        <f>VLOOKUP(A56,თვითღირებულება!A:AC,17,0)</f>
        <v>1.5371186440677966</v>
      </c>
      <c r="K56" s="14">
        <f>VLOOKUP(A56,[1]Sheet!$A:$G,7,0)</f>
        <v>0</v>
      </c>
      <c r="L56" s="14">
        <f>VLOOKUP(A56,[1]Sheet!$A:$J,10,0)</f>
        <v>2.65</v>
      </c>
      <c r="M56" s="14">
        <f t="shared" si="1"/>
        <v>2.245762711864407</v>
      </c>
      <c r="N56" s="14">
        <f t="shared" si="15"/>
        <v>0</v>
      </c>
      <c r="O56" s="14">
        <f t="shared" si="16"/>
        <v>0</v>
      </c>
      <c r="P56" s="14">
        <f t="shared" si="17"/>
        <v>0</v>
      </c>
      <c r="Q56" s="14">
        <f t="shared" si="18"/>
        <v>0</v>
      </c>
      <c r="R56" s="14">
        <f t="shared" si="19"/>
        <v>0</v>
      </c>
      <c r="S56" s="14">
        <f t="shared" si="20"/>
        <v>0</v>
      </c>
      <c r="T56" s="14">
        <f t="shared" si="21"/>
        <v>0</v>
      </c>
      <c r="U56" s="14">
        <f t="shared" si="22"/>
        <v>0</v>
      </c>
      <c r="V56" s="14">
        <f t="shared" si="10"/>
        <v>0</v>
      </c>
      <c r="W56" s="14">
        <f t="shared" si="11"/>
        <v>0</v>
      </c>
      <c r="X56" s="14">
        <f t="shared" si="23"/>
        <v>0</v>
      </c>
    </row>
    <row r="57" spans="1:24">
      <c r="A57" t="s">
        <v>64</v>
      </c>
      <c r="B57" s="13" t="str">
        <f>VLOOKUP(A57,თვითღირებულება!A:AC,2,0)</f>
        <v>დიდი ჯამი წითელი - M</v>
      </c>
      <c r="C57" s="14">
        <f>VLOOKUP(A57,თვითღირებულება!A:AC,6,0)</f>
        <v>1.3</v>
      </c>
      <c r="D57" s="14">
        <f>VLOOKUP(A57,თვითღირებულება!A:AC,15,0)</f>
        <v>0.41</v>
      </c>
      <c r="E57" s="14">
        <f>VLOOKUP(A57,თვითღირებულება!A:AC,12,0)</f>
        <v>0.26</v>
      </c>
      <c r="F57" s="14">
        <f>VLOOKUP(A57,თვითღირებულება!A:AC,11,0)</f>
        <v>3.5</v>
      </c>
      <c r="G57" s="14">
        <f t="shared" si="14"/>
        <v>0.91</v>
      </c>
      <c r="H57" s="14">
        <f>VLOOKUP(A57,თვითღირებულება!A:AC,9,0)</f>
        <v>0.42</v>
      </c>
      <c r="I57" s="14">
        <f>VLOOKUP(A57,თვითღირებულება!A:AC,16,0)</f>
        <v>1.74</v>
      </c>
      <c r="J57" s="14">
        <f>VLOOKUP(A57,თვითღირებულება!A:AC,17,0)</f>
        <v>1.5371186440677966</v>
      </c>
      <c r="K57" s="14">
        <f>VLOOKUP(A57,[1]Sheet!$A:$G,7,0)</f>
        <v>0</v>
      </c>
      <c r="L57" s="14">
        <f>VLOOKUP(A57,[1]Sheet!$A:$J,10,0)</f>
        <v>2.65</v>
      </c>
      <c r="M57" s="14">
        <f t="shared" si="1"/>
        <v>2.245762711864407</v>
      </c>
      <c r="N57" s="14">
        <f t="shared" si="15"/>
        <v>0</v>
      </c>
      <c r="O57" s="14">
        <f t="shared" si="16"/>
        <v>0</v>
      </c>
      <c r="P57" s="14">
        <f t="shared" si="17"/>
        <v>0</v>
      </c>
      <c r="Q57" s="14">
        <f t="shared" si="18"/>
        <v>0</v>
      </c>
      <c r="R57" s="14">
        <f t="shared" si="19"/>
        <v>0</v>
      </c>
      <c r="S57" s="14">
        <f t="shared" si="20"/>
        <v>0</v>
      </c>
      <c r="T57" s="14">
        <f t="shared" si="21"/>
        <v>0</v>
      </c>
      <c r="U57" s="14">
        <f t="shared" si="22"/>
        <v>0</v>
      </c>
      <c r="V57" s="14">
        <f t="shared" si="10"/>
        <v>0</v>
      </c>
      <c r="W57" s="14">
        <f t="shared" si="11"/>
        <v>0</v>
      </c>
      <c r="X57" s="14">
        <f t="shared" si="23"/>
        <v>0</v>
      </c>
    </row>
    <row r="58" spans="1:24">
      <c r="A58" t="s">
        <v>66</v>
      </c>
      <c r="B58" s="13" t="str">
        <f>VLOOKUP(A58,თვითღირებულება!A:AC,2,0)</f>
        <v>დიდი ჯამი ყვითელი - M</v>
      </c>
      <c r="C58" s="14">
        <f>VLOOKUP(A58,თვითღირებულება!A:AC,6,0)</f>
        <v>1.3</v>
      </c>
      <c r="D58" s="14">
        <f>VLOOKUP(A58,თვითღირებულება!A:AC,15,0)</f>
        <v>0.41</v>
      </c>
      <c r="E58" s="14">
        <f>VLOOKUP(A58,თვითღირებულება!A:AC,12,0)</f>
        <v>0.26</v>
      </c>
      <c r="F58" s="14">
        <f>VLOOKUP(A58,თვითღირებულება!A:AC,11,0)</f>
        <v>3.5</v>
      </c>
      <c r="G58" s="14">
        <f t="shared" si="14"/>
        <v>0.91</v>
      </c>
      <c r="H58" s="14">
        <f>VLOOKUP(A58,თვითღირებულება!A:AC,9,0)</f>
        <v>0.42</v>
      </c>
      <c r="I58" s="14">
        <f>VLOOKUP(A58,თვითღირებულება!A:AC,16,0)</f>
        <v>1.74</v>
      </c>
      <c r="J58" s="14">
        <f>VLOOKUP(A58,თვითღირებულება!A:AC,17,0)</f>
        <v>1.5371186440677966</v>
      </c>
      <c r="K58" s="14">
        <f>VLOOKUP(A58,[1]Sheet!$A:$G,7,0)</f>
        <v>0</v>
      </c>
      <c r="L58" s="14">
        <f>VLOOKUP(A58,[1]Sheet!$A:$J,10,0)</f>
        <v>2.65</v>
      </c>
      <c r="M58" s="14">
        <f t="shared" si="1"/>
        <v>2.245762711864407</v>
      </c>
      <c r="N58" s="14">
        <f t="shared" si="15"/>
        <v>0</v>
      </c>
      <c r="O58" s="14">
        <f t="shared" si="16"/>
        <v>0</v>
      </c>
      <c r="P58" s="14">
        <f t="shared" si="17"/>
        <v>0</v>
      </c>
      <c r="Q58" s="14">
        <f t="shared" si="18"/>
        <v>0</v>
      </c>
      <c r="R58" s="14">
        <f t="shared" si="19"/>
        <v>0</v>
      </c>
      <c r="S58" s="14">
        <f t="shared" si="20"/>
        <v>0</v>
      </c>
      <c r="T58" s="14">
        <f t="shared" si="21"/>
        <v>0</v>
      </c>
      <c r="U58" s="14">
        <f t="shared" si="22"/>
        <v>0</v>
      </c>
      <c r="V58" s="14">
        <f t="shared" si="10"/>
        <v>0</v>
      </c>
      <c r="W58" s="14">
        <f t="shared" si="11"/>
        <v>0</v>
      </c>
      <c r="X58" s="14">
        <f t="shared" si="23"/>
        <v>0</v>
      </c>
    </row>
    <row r="59" spans="1:24">
      <c r="A59" t="s">
        <v>18</v>
      </c>
      <c r="B59" s="13" t="str">
        <f>VLOOKUP(A59,თვითღირებულება!A:AC,2,0)</f>
        <v>საბერტყი ლურჯი</v>
      </c>
      <c r="C59" s="14">
        <f>VLOOKUP(A59,თვითღირებულება!A:AC,6,0)</f>
        <v>1.3</v>
      </c>
      <c r="D59" s="14">
        <f>VLOOKUP(A59,თვითღირებულება!A:AC,15,0)</f>
        <v>0.41</v>
      </c>
      <c r="E59" s="14">
        <f>VLOOKUP(A59,თვითღირებულება!A:AC,12,0)</f>
        <v>0.12</v>
      </c>
      <c r="F59" s="14">
        <f>VLOOKUP(A59,თვითღირებულება!A:AC,11,0)</f>
        <v>3.5</v>
      </c>
      <c r="G59" s="14">
        <f t="shared" si="14"/>
        <v>0.42</v>
      </c>
      <c r="H59" s="14">
        <f>VLOOKUP(A59,თვითღირებულება!A:AC,9,0)</f>
        <v>0.42</v>
      </c>
      <c r="I59" s="14">
        <f>VLOOKUP(A59,თვითღირებულება!A:AC,16,0)</f>
        <v>1.25</v>
      </c>
      <c r="J59" s="14">
        <f>VLOOKUP(A59,თვითღირებულება!A:AC,17,0)</f>
        <v>1.121864406779661</v>
      </c>
      <c r="K59" s="14">
        <f>VLOOKUP(A59,[1]Sheet!$A:$G,7,0)</f>
        <v>30</v>
      </c>
      <c r="L59" s="14">
        <f>VLOOKUP(A59,[1]Sheet!$A:$J,10,0)</f>
        <v>1.45</v>
      </c>
      <c r="M59" s="14">
        <f t="shared" si="1"/>
        <v>1.228813559322034</v>
      </c>
      <c r="N59" s="14">
        <f t="shared" si="15"/>
        <v>39</v>
      </c>
      <c r="O59" s="14">
        <f t="shared" si="16"/>
        <v>12.6</v>
      </c>
      <c r="P59" s="14">
        <f t="shared" si="17"/>
        <v>8.1250000000000003E-2</v>
      </c>
      <c r="Q59" s="14">
        <f t="shared" si="18"/>
        <v>12.299999999999999</v>
      </c>
      <c r="R59" s="14">
        <f t="shared" si="19"/>
        <v>3.5999999999999996</v>
      </c>
      <c r="S59" s="14">
        <f t="shared" si="20"/>
        <v>12.599999999999998</v>
      </c>
      <c r="T59" s="14">
        <f t="shared" si="21"/>
        <v>37.5</v>
      </c>
      <c r="U59" s="14">
        <f t="shared" si="22"/>
        <v>33.655932203389831</v>
      </c>
      <c r="V59" s="14">
        <f t="shared" si="10"/>
        <v>43.5</v>
      </c>
      <c r="W59" s="14">
        <f t="shared" si="11"/>
        <v>36.864406779661017</v>
      </c>
      <c r="X59" s="14">
        <f t="shared" si="23"/>
        <v>3.2084745762711862</v>
      </c>
    </row>
    <row r="60" spans="1:24">
      <c r="A60" t="s">
        <v>100</v>
      </c>
      <c r="B60" s="13" t="str">
        <f>VLOOKUP(A60,თვითღირებულება!A:AC,2,0)</f>
        <v>ქოთანი "კონუსი" შავი</v>
      </c>
      <c r="C60" s="14">
        <f>VLOOKUP(A60,თვითღირებულება!A:AC,6,0)</f>
        <v>1.3</v>
      </c>
      <c r="D60" s="14">
        <f>VLOOKUP(A60,თვითღირებულება!A:AC,15,0)</f>
        <v>0.41</v>
      </c>
      <c r="E60" s="14">
        <f>VLOOKUP(A60,თვითღირებულება!A:AC,12,0)</f>
        <v>0.2</v>
      </c>
      <c r="F60" s="14">
        <f>VLOOKUP(A60,თვითღირებულება!A:AC,11,0)</f>
        <v>3.5</v>
      </c>
      <c r="G60" s="14">
        <f t="shared" si="14"/>
        <v>0.70000000000000007</v>
      </c>
      <c r="H60" s="14">
        <f>VLOOKUP(A60,თვითღირებულება!A:AC,9,0)</f>
        <v>0.35</v>
      </c>
      <c r="I60" s="14">
        <f>VLOOKUP(A60,თვითღირებულება!A:AC,16,0)</f>
        <v>1.46</v>
      </c>
      <c r="J60" s="14">
        <f>VLOOKUP(A60,თვითღირებულება!A:AC,17,0)</f>
        <v>1.2998305084745763</v>
      </c>
      <c r="K60" s="14">
        <f>VLOOKUP(A60,[1]Sheet!$A:$G,7,0)</f>
        <v>22</v>
      </c>
      <c r="L60" s="14">
        <f>VLOOKUP(A60,[1]Sheet!$A:$J,10,0)</f>
        <v>1.8</v>
      </c>
      <c r="M60" s="14">
        <f t="shared" si="1"/>
        <v>1.5254237288135595</v>
      </c>
      <c r="N60" s="14">
        <f t="shared" si="15"/>
        <v>28.6</v>
      </c>
      <c r="O60" s="14">
        <f t="shared" si="16"/>
        <v>7.6999999999999993</v>
      </c>
      <c r="P60" s="14">
        <f t="shared" si="17"/>
        <v>5.9583333333333335E-2</v>
      </c>
      <c r="Q60" s="14">
        <f t="shared" si="18"/>
        <v>9.02</v>
      </c>
      <c r="R60" s="14">
        <f t="shared" si="19"/>
        <v>4.4000000000000004</v>
      </c>
      <c r="S60" s="14">
        <f t="shared" si="20"/>
        <v>15.400000000000002</v>
      </c>
      <c r="T60" s="14">
        <f t="shared" si="21"/>
        <v>32.119999999999997</v>
      </c>
      <c r="U60" s="14">
        <f t="shared" si="22"/>
        <v>28.596271186440678</v>
      </c>
      <c r="V60" s="14">
        <f t="shared" si="10"/>
        <v>39.6</v>
      </c>
      <c r="W60" s="14">
        <f t="shared" si="11"/>
        <v>33.559322033898312</v>
      </c>
      <c r="X60" s="14">
        <f t="shared" si="23"/>
        <v>4.9630508474576338</v>
      </c>
    </row>
    <row r="61" spans="1:24">
      <c r="A61" t="s">
        <v>8</v>
      </c>
      <c r="B61" s="13" t="str">
        <f>VLOOKUP(A61,თვითღირებულება!A:AC,2,0)</f>
        <v>ქოთანი "კონუსი" ლურჯი</v>
      </c>
      <c r="C61" s="14">
        <f>VLOOKUP(A61,თვითღირებულება!A:AC,6,0)</f>
        <v>1.3</v>
      </c>
      <c r="D61" s="14">
        <f>VLOOKUP(A61,თვითღირებულება!A:AC,15,0)</f>
        <v>0.41</v>
      </c>
      <c r="E61" s="14">
        <f>VLOOKUP(A61,თვითღირებულება!A:AC,12,0)</f>
        <v>0.2</v>
      </c>
      <c r="F61" s="14">
        <f>VLOOKUP(A61,თვითღირებულება!A:AC,11,0)</f>
        <v>3.5</v>
      </c>
      <c r="G61" s="14">
        <f t="shared" si="14"/>
        <v>0.70000000000000007</v>
      </c>
      <c r="H61" s="14">
        <f>VLOOKUP(A61,თვითღირებულება!A:AC,9,0)</f>
        <v>0.35</v>
      </c>
      <c r="I61" s="14">
        <f>VLOOKUP(A61,თვითღირებულება!A:AC,16,0)</f>
        <v>1.46</v>
      </c>
      <c r="J61" s="14">
        <f>VLOOKUP(A61,თვითღირებულება!A:AC,17,0)</f>
        <v>1.2998305084745763</v>
      </c>
      <c r="K61" s="14">
        <f>VLOOKUP(A61,[1]Sheet!$A:$G,7,0)</f>
        <v>0</v>
      </c>
      <c r="L61" s="14">
        <f>VLOOKUP(A61,[1]Sheet!$A:$J,10,0)</f>
        <v>1.8</v>
      </c>
      <c r="M61" s="14">
        <f t="shared" ref="M61:M101" si="24">L61/1.18</f>
        <v>1.5254237288135595</v>
      </c>
      <c r="N61" s="14">
        <f t="shared" si="15"/>
        <v>0</v>
      </c>
      <c r="O61" s="14">
        <f t="shared" si="16"/>
        <v>0</v>
      </c>
      <c r="P61" s="14">
        <f t="shared" si="17"/>
        <v>0</v>
      </c>
      <c r="Q61" s="14">
        <f t="shared" si="18"/>
        <v>0</v>
      </c>
      <c r="R61" s="14">
        <f t="shared" si="19"/>
        <v>0</v>
      </c>
      <c r="S61" s="14">
        <f t="shared" si="20"/>
        <v>0</v>
      </c>
      <c r="T61" s="14">
        <f t="shared" si="21"/>
        <v>0</v>
      </c>
      <c r="U61" s="14">
        <f t="shared" si="22"/>
        <v>0</v>
      </c>
      <c r="V61" s="14">
        <f t="shared" ref="V61:V101" si="25">K61*L61</f>
        <v>0</v>
      </c>
      <c r="W61" s="14">
        <f t="shared" ref="W61:W102" si="26">V61/1.18</f>
        <v>0</v>
      </c>
      <c r="X61" s="14">
        <f t="shared" si="23"/>
        <v>0</v>
      </c>
    </row>
    <row r="62" spans="1:24">
      <c r="A62" t="s">
        <v>102</v>
      </c>
      <c r="B62" s="13" t="str">
        <f>VLOOKUP(A62,თვითღირებულება!A:AC,2,0)</f>
        <v>ქოთანი "კონუსი" მწვანე</v>
      </c>
      <c r="C62" s="14">
        <f>VLOOKUP(A62,თვითღირებულება!A:AC,6,0)</f>
        <v>1.3</v>
      </c>
      <c r="D62" s="14">
        <f>VLOOKUP(A62,თვითღირებულება!A:AC,15,0)</f>
        <v>0.41</v>
      </c>
      <c r="E62" s="14">
        <f>VLOOKUP(A62,თვითღირებულება!A:AC,12,0)</f>
        <v>0.2</v>
      </c>
      <c r="F62" s="14">
        <f>VLOOKUP(A62,თვითღირებულება!A:AC,11,0)</f>
        <v>3.5</v>
      </c>
      <c r="G62" s="14">
        <f t="shared" si="14"/>
        <v>0.70000000000000007</v>
      </c>
      <c r="H62" s="14">
        <f>VLOOKUP(A62,თვითღირებულება!A:AC,9,0)</f>
        <v>0.35</v>
      </c>
      <c r="I62" s="14">
        <f>VLOOKUP(A62,თვითღირებულება!A:AC,16,0)</f>
        <v>1.46</v>
      </c>
      <c r="J62" s="14">
        <f>VLOOKUP(A62,თვითღირებულება!A:AC,17,0)</f>
        <v>1.2998305084745763</v>
      </c>
      <c r="K62" s="14">
        <f>VLOOKUP(A62,[1]Sheet!$A:$G,7,0)</f>
        <v>0</v>
      </c>
      <c r="L62" s="14">
        <f>VLOOKUP(A62,[1]Sheet!$A:$J,10,0)</f>
        <v>1.8</v>
      </c>
      <c r="M62" s="14">
        <f t="shared" si="24"/>
        <v>1.5254237288135595</v>
      </c>
      <c r="N62" s="14">
        <f t="shared" si="15"/>
        <v>0</v>
      </c>
      <c r="O62" s="14">
        <f t="shared" si="16"/>
        <v>0</v>
      </c>
      <c r="P62" s="14">
        <f t="shared" si="17"/>
        <v>0</v>
      </c>
      <c r="Q62" s="14">
        <f t="shared" si="18"/>
        <v>0</v>
      </c>
      <c r="R62" s="14">
        <f t="shared" si="19"/>
        <v>0</v>
      </c>
      <c r="S62" s="14">
        <f t="shared" si="20"/>
        <v>0</v>
      </c>
      <c r="T62" s="14">
        <f t="shared" si="21"/>
        <v>0</v>
      </c>
      <c r="U62" s="14">
        <f t="shared" si="22"/>
        <v>0</v>
      </c>
      <c r="V62" s="14">
        <f t="shared" si="25"/>
        <v>0</v>
      </c>
      <c r="W62" s="14">
        <f t="shared" si="26"/>
        <v>0</v>
      </c>
      <c r="X62" s="14">
        <f t="shared" si="23"/>
        <v>0</v>
      </c>
    </row>
    <row r="63" spans="1:24">
      <c r="A63" t="s">
        <v>104</v>
      </c>
      <c r="B63" s="13" t="str">
        <f>VLOOKUP(A63,თვითღირებულება!A:AC,2,0)</f>
        <v xml:space="preserve">ქოთანი "კონუსი" იასამნისფერი </v>
      </c>
      <c r="C63" s="14">
        <f>VLOOKUP(A63,თვითღირებულება!A:AC,6,0)</f>
        <v>1.3</v>
      </c>
      <c r="D63" s="14">
        <f>VLOOKUP(A63,თვითღირებულება!A:AC,15,0)</f>
        <v>0.41</v>
      </c>
      <c r="E63" s="14">
        <f>VLOOKUP(A63,თვითღირებულება!A:AC,12,0)</f>
        <v>0.2</v>
      </c>
      <c r="F63" s="14">
        <f>VLOOKUP(A63,თვითღირებულება!A:AC,11,0)</f>
        <v>3.5</v>
      </c>
      <c r="G63" s="14">
        <f t="shared" si="14"/>
        <v>0.70000000000000007</v>
      </c>
      <c r="H63" s="14">
        <f>VLOOKUP(A63,თვითღირებულება!A:AC,9,0)</f>
        <v>0.35</v>
      </c>
      <c r="I63" s="14">
        <f>VLOOKUP(A63,თვითღირებულება!A:AC,16,0)</f>
        <v>1.46</v>
      </c>
      <c r="J63" s="14">
        <f>VLOOKUP(A63,თვითღირებულება!A:AC,17,0)</f>
        <v>1.2998305084745763</v>
      </c>
      <c r="K63" s="14">
        <f>VLOOKUP(A63,[1]Sheet!$A:$G,7,0)</f>
        <v>0</v>
      </c>
      <c r="L63" s="14">
        <f>VLOOKUP(A63,[1]Sheet!$A:$J,10,0)</f>
        <v>1.8</v>
      </c>
      <c r="M63" s="14">
        <f t="shared" si="24"/>
        <v>1.5254237288135595</v>
      </c>
      <c r="N63" s="14">
        <f t="shared" si="15"/>
        <v>0</v>
      </c>
      <c r="O63" s="14">
        <f t="shared" si="16"/>
        <v>0</v>
      </c>
      <c r="P63" s="14">
        <f t="shared" si="17"/>
        <v>0</v>
      </c>
      <c r="Q63" s="14">
        <f t="shared" si="18"/>
        <v>0</v>
      </c>
      <c r="R63" s="14">
        <f t="shared" si="19"/>
        <v>0</v>
      </c>
      <c r="S63" s="14">
        <f t="shared" si="20"/>
        <v>0</v>
      </c>
      <c r="T63" s="14">
        <f t="shared" si="21"/>
        <v>0</v>
      </c>
      <c r="U63" s="14">
        <f t="shared" si="22"/>
        <v>0</v>
      </c>
      <c r="V63" s="14">
        <f t="shared" si="25"/>
        <v>0</v>
      </c>
      <c r="W63" s="14">
        <f t="shared" si="26"/>
        <v>0</v>
      </c>
      <c r="X63" s="14">
        <f t="shared" si="23"/>
        <v>0</v>
      </c>
    </row>
    <row r="64" spans="1:24">
      <c r="A64" t="s">
        <v>6</v>
      </c>
      <c r="B64" s="13" t="str">
        <f>VLOOKUP(A64,თვითღირებულება!A:AC,2,0)</f>
        <v>პლასტმასის ურიკის ჯამი</v>
      </c>
      <c r="C64" s="14">
        <f>VLOOKUP(A64,თვითღირებულება!A:AC,6,0)</f>
        <v>2.5</v>
      </c>
      <c r="D64" s="14">
        <f>VLOOKUP(A64,თვითღირებულება!A:AC,15,0)</f>
        <v>0.78</v>
      </c>
      <c r="E64" s="14">
        <f>VLOOKUP(A64,თვითღირებულება!A:AC,12,0)</f>
        <v>3.2</v>
      </c>
      <c r="F64" s="14">
        <f>VLOOKUP(A64,თვითღირებულება!A:AC,11,0)</f>
        <v>6.65</v>
      </c>
      <c r="G64" s="14">
        <f t="shared" si="14"/>
        <v>21.28</v>
      </c>
      <c r="H64" s="14">
        <f>VLOOKUP(A64,თვითღირებულება!A:AC,9,0)</f>
        <v>2.4</v>
      </c>
      <c r="I64" s="14">
        <f>VLOOKUP(A64,თვითღირებულება!A:AC,16,0)</f>
        <v>24.46</v>
      </c>
      <c r="J64" s="14">
        <f>VLOOKUP(A64,თვითღირებულება!A:AC,17,0)</f>
        <v>20.847796610169492</v>
      </c>
      <c r="K64" s="14">
        <f>VLOOKUP(A64,[1]Sheet!$A:$G,7,0)</f>
        <v>10</v>
      </c>
      <c r="L64" s="14">
        <f>VLOOKUP(A64,[1]Sheet!$A:$J,10,0)</f>
        <v>0</v>
      </c>
      <c r="M64" s="14">
        <f t="shared" si="24"/>
        <v>0</v>
      </c>
      <c r="N64" s="14">
        <f t="shared" si="15"/>
        <v>25</v>
      </c>
      <c r="O64" s="14">
        <f t="shared" si="16"/>
        <v>24</v>
      </c>
      <c r="P64" s="14">
        <f t="shared" si="17"/>
        <v>5.2083333333333336E-2</v>
      </c>
      <c r="Q64" s="14">
        <f t="shared" si="18"/>
        <v>7.8000000000000007</v>
      </c>
      <c r="R64" s="14">
        <f t="shared" si="19"/>
        <v>32</v>
      </c>
      <c r="S64" s="14">
        <f t="shared" si="20"/>
        <v>212.8</v>
      </c>
      <c r="T64" s="14">
        <f t="shared" si="21"/>
        <v>244.60000000000002</v>
      </c>
      <c r="U64" s="14">
        <f t="shared" si="22"/>
        <v>208.47796610169493</v>
      </c>
      <c r="V64" s="14">
        <f>K64*L64</f>
        <v>0</v>
      </c>
      <c r="W64" s="14">
        <f t="shared" si="26"/>
        <v>0</v>
      </c>
      <c r="X64" s="14">
        <f t="shared" si="23"/>
        <v>-208.47796610169493</v>
      </c>
    </row>
    <row r="65" spans="1:24">
      <c r="A65" t="s">
        <v>179</v>
      </c>
      <c r="B65" s="13" t="str">
        <f>VLOOKUP(A65,თვითღირებულება!A:AC,2,0)</f>
        <v>ვენტილირებადი ევრო ყუთი შავი - L</v>
      </c>
      <c r="C65" s="14">
        <f>VLOOKUP(A65,თვითღირებულება!A:AC,6,0)</f>
        <v>3</v>
      </c>
      <c r="D65" s="14">
        <f>VLOOKUP(A65,თვითღირებულება!A:AC,15,0)</f>
        <v>0.94</v>
      </c>
      <c r="E65" s="14">
        <f>VLOOKUP(A65,თვითღირებულება!A:AC,12,0)</f>
        <v>3.05</v>
      </c>
      <c r="F65" s="14">
        <f>VLOOKUP(A65,თვითღირებულება!A:AC,11,0)</f>
        <v>6.65</v>
      </c>
      <c r="G65" s="14">
        <f t="shared" si="14"/>
        <v>20.282499999999999</v>
      </c>
      <c r="H65" s="14">
        <f>VLOOKUP(A65,თვითღირებულება!A:AC,9,0)</f>
        <v>2.88</v>
      </c>
      <c r="I65" s="14">
        <f>VLOOKUP(A65,თვითღირებულება!A:AC,16,0)</f>
        <v>24.1</v>
      </c>
      <c r="J65" s="14">
        <f>VLOOKUP(A65,თვითღირებულება!A:AC,17,0)</f>
        <v>20.567118644067801</v>
      </c>
      <c r="K65" s="14">
        <f>VLOOKUP(A65,[1]Sheet!$A:$G,7,0)</f>
        <v>1</v>
      </c>
      <c r="L65" s="14">
        <f>VLOOKUP(A65,[1]Sheet!$A:$J,10,0)</f>
        <v>35</v>
      </c>
      <c r="M65" s="14">
        <f t="shared" si="24"/>
        <v>29.661016949152543</v>
      </c>
      <c r="N65" s="14">
        <f t="shared" si="15"/>
        <v>3</v>
      </c>
      <c r="O65" s="14">
        <f t="shared" si="16"/>
        <v>2.88</v>
      </c>
      <c r="P65" s="14">
        <f t="shared" si="17"/>
        <v>6.2500000000000003E-3</v>
      </c>
      <c r="Q65" s="14">
        <f t="shared" si="18"/>
        <v>0.94</v>
      </c>
      <c r="R65" s="14">
        <f t="shared" si="19"/>
        <v>3.05</v>
      </c>
      <c r="S65" s="14">
        <f t="shared" si="20"/>
        <v>20.282499999999999</v>
      </c>
      <c r="T65" s="14">
        <f t="shared" si="21"/>
        <v>24.1</v>
      </c>
      <c r="U65" s="14">
        <f t="shared" si="22"/>
        <v>20.567118644067801</v>
      </c>
      <c r="V65" s="14">
        <f t="shared" si="25"/>
        <v>35</v>
      </c>
      <c r="W65" s="14">
        <f t="shared" si="26"/>
        <v>29.661016949152543</v>
      </c>
      <c r="X65" s="14">
        <f t="shared" si="23"/>
        <v>9.0938983050847426</v>
      </c>
    </row>
    <row r="66" spans="1:24">
      <c r="A66" t="s">
        <v>193</v>
      </c>
      <c r="B66" s="13" t="str">
        <f>VLOOKUP(A66,თვითღირებულება!A:AC,2,0)</f>
        <v>ვენტილირებადი ევრო ყუთი ლურჯი - L</v>
      </c>
      <c r="C66" s="14">
        <f>VLOOKUP(A66,თვითღირებულება!A:AC,6,0)</f>
        <v>3</v>
      </c>
      <c r="D66" s="14">
        <f>VLOOKUP(A66,თვითღირებულება!A:AC,15,0)</f>
        <v>0.94</v>
      </c>
      <c r="E66" s="14">
        <f>VLOOKUP(A66,თვითღირებულება!A:AC,12,0)</f>
        <v>3.05</v>
      </c>
      <c r="F66" s="14">
        <f>VLOOKUP(A66,თვითღირებულება!A:AC,11,0)</f>
        <v>6.65</v>
      </c>
      <c r="G66" s="14">
        <f t="shared" si="14"/>
        <v>20.282499999999999</v>
      </c>
      <c r="H66" s="14">
        <f>VLOOKUP(A66,თვითღირებულება!A:AC,9,0)</f>
        <v>2.88</v>
      </c>
      <c r="I66" s="14">
        <f>VLOOKUP(A66,თვითღირებულება!A:AC,16,0)</f>
        <v>24.1</v>
      </c>
      <c r="J66" s="14">
        <f>VLOOKUP(A66,თვითღირებულება!A:AC,17,0)</f>
        <v>20.567118644067801</v>
      </c>
      <c r="K66" s="14">
        <f>VLOOKUP(A66,[1]Sheet!$A:$G,7,0)</f>
        <v>0</v>
      </c>
      <c r="L66" s="14">
        <f>VLOOKUP(A66,[1]Sheet!$A:$J,10,0)</f>
        <v>35</v>
      </c>
      <c r="M66" s="14">
        <f t="shared" si="24"/>
        <v>29.661016949152543</v>
      </c>
      <c r="N66" s="14">
        <f t="shared" si="15"/>
        <v>0</v>
      </c>
      <c r="O66" s="14">
        <f t="shared" si="16"/>
        <v>0</v>
      </c>
      <c r="P66" s="14">
        <f t="shared" si="17"/>
        <v>0</v>
      </c>
      <c r="Q66" s="14">
        <f t="shared" si="18"/>
        <v>0</v>
      </c>
      <c r="R66" s="14">
        <f t="shared" si="19"/>
        <v>0</v>
      </c>
      <c r="S66" s="14">
        <f t="shared" si="20"/>
        <v>0</v>
      </c>
      <c r="T66" s="14">
        <f t="shared" si="21"/>
        <v>0</v>
      </c>
      <c r="U66" s="14">
        <f t="shared" si="22"/>
        <v>0</v>
      </c>
      <c r="V66" s="14">
        <f t="shared" si="25"/>
        <v>0</v>
      </c>
      <c r="W66" s="14">
        <f t="shared" si="26"/>
        <v>0</v>
      </c>
      <c r="X66" s="14">
        <f t="shared" si="23"/>
        <v>0</v>
      </c>
    </row>
    <row r="67" spans="1:24">
      <c r="A67" t="s">
        <v>189</v>
      </c>
      <c r="B67" s="13" t="str">
        <f>VLOOKUP(A67,თვითღირებულება!A:AC,2,0)</f>
        <v>ვენტილირებადი ევრო ყუთი მწვანე - L</v>
      </c>
      <c r="C67" s="14">
        <f>VLOOKUP(A67,თვითღირებულება!A:AC,6,0)</f>
        <v>3</v>
      </c>
      <c r="D67" s="14">
        <f>VLOOKUP(A67,თვითღირებულება!A:AC,15,0)</f>
        <v>0.94</v>
      </c>
      <c r="E67" s="14">
        <f>VLOOKUP(A67,თვითღირებულება!A:AC,12,0)</f>
        <v>3.05</v>
      </c>
      <c r="F67" s="14">
        <f>VLOOKUP(A67,თვითღირებულება!A:AC,11,0)</f>
        <v>6.65</v>
      </c>
      <c r="G67" s="14">
        <f t="shared" si="14"/>
        <v>20.282499999999999</v>
      </c>
      <c r="H67" s="14">
        <f>VLOOKUP(A67,თვითღირებულება!A:AC,9,0)</f>
        <v>2.88</v>
      </c>
      <c r="I67" s="14">
        <f>VLOOKUP(A67,თვითღირებულება!A:AC,16,0)</f>
        <v>24.1</v>
      </c>
      <c r="J67" s="14">
        <f>VLOOKUP(A67,თვითღირებულება!A:AC,17,0)</f>
        <v>20.567118644067801</v>
      </c>
      <c r="K67" s="14">
        <f>VLOOKUP(A67,[1]Sheet!$A:$G,7,0)</f>
        <v>0</v>
      </c>
      <c r="L67" s="14">
        <f>VLOOKUP(A67,[1]Sheet!$A:$J,10,0)</f>
        <v>35</v>
      </c>
      <c r="M67" s="14">
        <f t="shared" si="24"/>
        <v>29.661016949152543</v>
      </c>
      <c r="N67" s="14">
        <f t="shared" si="15"/>
        <v>0</v>
      </c>
      <c r="O67" s="14">
        <f t="shared" si="16"/>
        <v>0</v>
      </c>
      <c r="P67" s="14">
        <f t="shared" si="17"/>
        <v>0</v>
      </c>
      <c r="Q67" s="14">
        <f t="shared" si="18"/>
        <v>0</v>
      </c>
      <c r="R67" s="14">
        <f t="shared" si="19"/>
        <v>0</v>
      </c>
      <c r="S67" s="14">
        <f t="shared" si="20"/>
        <v>0</v>
      </c>
      <c r="T67" s="14">
        <f t="shared" si="21"/>
        <v>0</v>
      </c>
      <c r="U67" s="14">
        <f t="shared" si="22"/>
        <v>0</v>
      </c>
      <c r="V67" s="14">
        <f t="shared" si="25"/>
        <v>0</v>
      </c>
      <c r="W67" s="14">
        <f t="shared" si="26"/>
        <v>0</v>
      </c>
      <c r="X67" s="14">
        <f t="shared" si="23"/>
        <v>0</v>
      </c>
    </row>
    <row r="68" spans="1:24">
      <c r="A68" t="s">
        <v>173</v>
      </c>
      <c r="B68" s="13" t="str">
        <f>VLOOKUP(A68,თვითღირებულება!A:AC,2,0)</f>
        <v>ვენტილირებადი ევრო ყუთი წითელი - L</v>
      </c>
      <c r="C68" s="14">
        <f>VLOOKUP(A68,თვითღირებულება!A:AC,6,0)</f>
        <v>3</v>
      </c>
      <c r="D68" s="14">
        <f>VLOOKUP(A68,თვითღირებულება!A:AC,15,0)</f>
        <v>0.94</v>
      </c>
      <c r="E68" s="14">
        <f>VLOOKUP(A68,თვითღირებულება!A:AC,12,0)</f>
        <v>3.05</v>
      </c>
      <c r="F68" s="14">
        <f>VLOOKUP(A68,თვითღირებულება!A:AC,11,0)</f>
        <v>6.65</v>
      </c>
      <c r="G68" s="14">
        <f t="shared" si="14"/>
        <v>20.282499999999999</v>
      </c>
      <c r="H68" s="14">
        <f>VLOOKUP(A68,თვითღირებულება!A:AC,9,0)</f>
        <v>2.88</v>
      </c>
      <c r="I68" s="14">
        <f>VLOOKUP(A68,თვითღირებულება!A:AC,16,0)</f>
        <v>24.1</v>
      </c>
      <c r="J68" s="14">
        <f>VLOOKUP(A68,თვითღირებულება!A:AC,17,0)</f>
        <v>20.567118644067801</v>
      </c>
      <c r="K68" s="14">
        <f>VLOOKUP(A68,[1]Sheet!$A:$G,7,0)</f>
        <v>0</v>
      </c>
      <c r="L68" s="14">
        <f>VLOOKUP(A68,[1]Sheet!$A:$J,10,0)</f>
        <v>35</v>
      </c>
      <c r="M68" s="14">
        <f t="shared" si="24"/>
        <v>29.661016949152543</v>
      </c>
      <c r="N68" s="14">
        <f t="shared" si="15"/>
        <v>0</v>
      </c>
      <c r="O68" s="14">
        <f t="shared" si="16"/>
        <v>0</v>
      </c>
      <c r="P68" s="14">
        <f t="shared" si="17"/>
        <v>0</v>
      </c>
      <c r="Q68" s="14">
        <f t="shared" si="18"/>
        <v>0</v>
      </c>
      <c r="R68" s="14">
        <f t="shared" si="19"/>
        <v>0</v>
      </c>
      <c r="S68" s="14">
        <f t="shared" si="20"/>
        <v>0</v>
      </c>
      <c r="T68" s="14">
        <f t="shared" si="21"/>
        <v>0</v>
      </c>
      <c r="U68" s="14">
        <f t="shared" si="22"/>
        <v>0</v>
      </c>
      <c r="V68" s="14">
        <f t="shared" si="25"/>
        <v>0</v>
      </c>
      <c r="W68" s="14">
        <f t="shared" si="26"/>
        <v>0</v>
      </c>
      <c r="X68" s="14">
        <f t="shared" si="23"/>
        <v>0</v>
      </c>
    </row>
    <row r="69" spans="1:24">
      <c r="A69" t="s">
        <v>197</v>
      </c>
      <c r="B69" s="13" t="str">
        <f>VLOOKUP(A69,თვითღირებულება!A:AC,2,0)</f>
        <v>ვენტილირებადი ევრო ყუთი თეთრი - L</v>
      </c>
      <c r="C69" s="14">
        <f>VLOOKUP(A69,თვითღირებულება!A:AC,6,0)</f>
        <v>3</v>
      </c>
      <c r="D69" s="14">
        <f>VLOOKUP(A69,თვითღირებულება!A:AC,15,0)</f>
        <v>0.94</v>
      </c>
      <c r="E69" s="14">
        <f>VLOOKUP(A69,თვითღირებულება!A:AC,12,0)</f>
        <v>3.05</v>
      </c>
      <c r="F69" s="14">
        <f>VLOOKUP(A69,თვითღირებულება!A:AC,11,0)</f>
        <v>6.65</v>
      </c>
      <c r="G69" s="14">
        <f t="shared" si="14"/>
        <v>20.282499999999999</v>
      </c>
      <c r="H69" s="14">
        <f>VLOOKUP(A69,თვითღირებულება!A:AC,9,0)</f>
        <v>2.88</v>
      </c>
      <c r="I69" s="14">
        <f>VLOOKUP(A69,თვითღირებულება!A:AC,16,0)</f>
        <v>24.1</v>
      </c>
      <c r="J69" s="14">
        <f>VLOOKUP(A69,თვითღირებულება!A:AC,17,0)</f>
        <v>20.567118644067801</v>
      </c>
      <c r="K69" s="14">
        <f>VLOOKUP(A69,[1]Sheet!$A:$G,7,0)</f>
        <v>0</v>
      </c>
      <c r="L69" s="14">
        <f>VLOOKUP(A69,[1]Sheet!$A:$J,10,0)</f>
        <v>35</v>
      </c>
      <c r="M69" s="14">
        <f t="shared" si="24"/>
        <v>29.661016949152543</v>
      </c>
      <c r="N69" s="14">
        <f t="shared" si="15"/>
        <v>0</v>
      </c>
      <c r="O69" s="14">
        <f t="shared" si="16"/>
        <v>0</v>
      </c>
      <c r="P69" s="14">
        <f t="shared" si="17"/>
        <v>0</v>
      </c>
      <c r="Q69" s="14">
        <f t="shared" si="18"/>
        <v>0</v>
      </c>
      <c r="R69" s="14">
        <f t="shared" si="19"/>
        <v>0</v>
      </c>
      <c r="S69" s="14">
        <f t="shared" si="20"/>
        <v>0</v>
      </c>
      <c r="T69" s="14">
        <f t="shared" si="21"/>
        <v>0</v>
      </c>
      <c r="U69" s="14">
        <f t="shared" si="22"/>
        <v>0</v>
      </c>
      <c r="V69" s="14">
        <f t="shared" si="25"/>
        <v>0</v>
      </c>
      <c r="W69" s="14">
        <f t="shared" si="26"/>
        <v>0</v>
      </c>
      <c r="X69" s="14">
        <f t="shared" si="23"/>
        <v>0</v>
      </c>
    </row>
    <row r="70" spans="1:24">
      <c r="A70" t="s">
        <v>185</v>
      </c>
      <c r="B70" s="13" t="str">
        <f>VLOOKUP(A70,თვითღირებულება!A:AC,2,0)</f>
        <v>ვენტილირებადი ევრო ყუთი ყვითელი- L</v>
      </c>
      <c r="C70" s="14">
        <f>VLOOKUP(A70,თვითღირებულება!A:AC,6,0)</f>
        <v>3</v>
      </c>
      <c r="D70" s="14">
        <f>VLOOKUP(A70,თვითღირებულება!A:AC,15,0)</f>
        <v>0.94</v>
      </c>
      <c r="E70" s="14">
        <f>VLOOKUP(A70,თვითღირებულება!A:AC,12,0)</f>
        <v>3.05</v>
      </c>
      <c r="F70" s="14">
        <f>VLOOKUP(A70,თვითღირებულება!A:AC,11,0)</f>
        <v>6.65</v>
      </c>
      <c r="G70" s="14">
        <f t="shared" si="14"/>
        <v>20.282499999999999</v>
      </c>
      <c r="H70" s="14">
        <f>VLOOKUP(A70,თვითღირებულება!A:AC,9,0)</f>
        <v>2.88</v>
      </c>
      <c r="I70" s="14">
        <f>VLOOKUP(A70,თვითღირებულება!A:AC,16,0)</f>
        <v>24.1</v>
      </c>
      <c r="J70" s="14">
        <f>VLOOKUP(A70,თვითღირებულება!A:AC,17,0)</f>
        <v>20.567118644067801</v>
      </c>
      <c r="K70" s="14">
        <f>VLOOKUP(A70,[1]Sheet!$A:$G,7,0)</f>
        <v>0</v>
      </c>
      <c r="L70" s="14">
        <f>VLOOKUP(A70,[1]Sheet!$A:$J,10,0)</f>
        <v>35</v>
      </c>
      <c r="M70" s="14">
        <f t="shared" si="24"/>
        <v>29.661016949152543</v>
      </c>
      <c r="N70" s="14">
        <f t="shared" si="15"/>
        <v>0</v>
      </c>
      <c r="O70" s="14">
        <f t="shared" si="16"/>
        <v>0</v>
      </c>
      <c r="P70" s="14">
        <f t="shared" si="17"/>
        <v>0</v>
      </c>
      <c r="Q70" s="14">
        <f t="shared" si="18"/>
        <v>0</v>
      </c>
      <c r="R70" s="14">
        <f t="shared" si="19"/>
        <v>0</v>
      </c>
      <c r="S70" s="14">
        <f t="shared" si="20"/>
        <v>0</v>
      </c>
      <c r="T70" s="14">
        <f t="shared" si="21"/>
        <v>0</v>
      </c>
      <c r="U70" s="14">
        <f t="shared" si="22"/>
        <v>0</v>
      </c>
      <c r="V70" s="14">
        <f t="shared" si="25"/>
        <v>0</v>
      </c>
      <c r="W70" s="14">
        <f t="shared" si="26"/>
        <v>0</v>
      </c>
      <c r="X70" s="14">
        <f t="shared" si="23"/>
        <v>0</v>
      </c>
    </row>
    <row r="71" spans="1:24">
      <c r="A71" t="s">
        <v>177</v>
      </c>
      <c r="B71" s="13" t="str">
        <f>VLOOKUP(A71,თვითღირებულება!A:AC,2,0)</f>
        <v>ვენტილირებადი ევრო ყუთი შავი - M</v>
      </c>
      <c r="C71" s="14">
        <f>VLOOKUP(A71,თვითღირებულება!A:AC,6,0)</f>
        <v>3</v>
      </c>
      <c r="D71" s="14">
        <f>VLOOKUP(A71,თვითღირებულება!A:AC,15,0)</f>
        <v>0.94</v>
      </c>
      <c r="E71" s="14">
        <f>VLOOKUP(A71,თვითღირებულება!A:AC,12,0)</f>
        <v>2.08</v>
      </c>
      <c r="F71" s="14">
        <f>VLOOKUP(A71,თვითღირებულება!A:AC,11,0)</f>
        <v>6.65</v>
      </c>
      <c r="G71" s="14">
        <f t="shared" si="14"/>
        <v>13.832000000000001</v>
      </c>
      <c r="H71" s="14">
        <f>VLOOKUP(A71,თვითღირებულება!A:AC,9,0)</f>
        <v>2.88</v>
      </c>
      <c r="I71" s="14">
        <f>VLOOKUP(A71,თვითღირებულება!A:AC,16,0)</f>
        <v>17.649999999999999</v>
      </c>
      <c r="J71" s="14">
        <f>VLOOKUP(A71,თვითღირებულება!A:AC,17,0)</f>
        <v>15.101016949152541</v>
      </c>
      <c r="K71" s="14">
        <f>VLOOKUP(A71,[1]Sheet!$A:$G,7,0)</f>
        <v>0</v>
      </c>
      <c r="L71" s="14">
        <f>VLOOKUP(A71,[1]Sheet!$A:$J,10,0)</f>
        <v>32</v>
      </c>
      <c r="M71" s="14">
        <f t="shared" si="24"/>
        <v>27.118644067796613</v>
      </c>
      <c r="N71" s="14">
        <f t="shared" si="15"/>
        <v>0</v>
      </c>
      <c r="O71" s="14">
        <f t="shared" si="16"/>
        <v>0</v>
      </c>
      <c r="P71" s="14">
        <f t="shared" si="17"/>
        <v>0</v>
      </c>
      <c r="Q71" s="14">
        <f t="shared" si="18"/>
        <v>0</v>
      </c>
      <c r="R71" s="14">
        <f t="shared" si="19"/>
        <v>0</v>
      </c>
      <c r="S71" s="14">
        <f t="shared" si="20"/>
        <v>0</v>
      </c>
      <c r="T71" s="14">
        <f t="shared" si="21"/>
        <v>0</v>
      </c>
      <c r="U71" s="14">
        <f t="shared" si="22"/>
        <v>0</v>
      </c>
      <c r="V71" s="14">
        <f t="shared" si="25"/>
        <v>0</v>
      </c>
      <c r="W71" s="14">
        <f t="shared" si="26"/>
        <v>0</v>
      </c>
      <c r="X71" s="14">
        <f t="shared" si="23"/>
        <v>0</v>
      </c>
    </row>
    <row r="72" spans="1:24">
      <c r="A72" t="s">
        <v>191</v>
      </c>
      <c r="B72" s="13" t="str">
        <f>VLOOKUP(A72,თვითღირებულება!A:AC,2,0)</f>
        <v>ვენტილირებადი ევრო ყუთი ლურჯი - M</v>
      </c>
      <c r="C72" s="14">
        <f>VLOOKUP(A72,თვითღირებულება!A:AC,6,0)</f>
        <v>3</v>
      </c>
      <c r="D72" s="14">
        <f>VLOOKUP(A72,თვითღირებულება!A:AC,15,0)</f>
        <v>0.94</v>
      </c>
      <c r="E72" s="14">
        <f>VLOOKUP(A72,თვითღირებულება!A:AC,12,0)</f>
        <v>2.08</v>
      </c>
      <c r="F72" s="14">
        <f>VLOOKUP(A72,თვითღირებულება!A:AC,11,0)</f>
        <v>6.65</v>
      </c>
      <c r="G72" s="14">
        <f t="shared" si="14"/>
        <v>13.832000000000001</v>
      </c>
      <c r="H72" s="14">
        <f>VLOOKUP(A72,თვითღირებულება!A:AC,9,0)</f>
        <v>2.88</v>
      </c>
      <c r="I72" s="14">
        <f>VLOOKUP(A72,თვითღირებულება!A:AC,16,0)</f>
        <v>17.649999999999999</v>
      </c>
      <c r="J72" s="14">
        <f>VLOOKUP(A72,თვითღირებულება!A:AC,17,0)</f>
        <v>15.101016949152541</v>
      </c>
      <c r="K72" s="14">
        <f>VLOOKUP(A72,[1]Sheet!$A:$G,7,0)</f>
        <v>0</v>
      </c>
      <c r="L72" s="14">
        <f>VLOOKUP(A72,[1]Sheet!$A:$J,10,0)</f>
        <v>32</v>
      </c>
      <c r="M72" s="14">
        <f t="shared" si="24"/>
        <v>27.118644067796613</v>
      </c>
      <c r="N72" s="14">
        <f t="shared" si="15"/>
        <v>0</v>
      </c>
      <c r="O72" s="14">
        <f t="shared" si="16"/>
        <v>0</v>
      </c>
      <c r="P72" s="14">
        <f t="shared" si="17"/>
        <v>0</v>
      </c>
      <c r="Q72" s="14">
        <f t="shared" si="18"/>
        <v>0</v>
      </c>
      <c r="R72" s="14">
        <f t="shared" si="19"/>
        <v>0</v>
      </c>
      <c r="S72" s="14">
        <f t="shared" si="20"/>
        <v>0</v>
      </c>
      <c r="T72" s="14">
        <f t="shared" si="21"/>
        <v>0</v>
      </c>
      <c r="U72" s="14">
        <f t="shared" si="22"/>
        <v>0</v>
      </c>
      <c r="V72" s="14">
        <f t="shared" si="25"/>
        <v>0</v>
      </c>
      <c r="W72" s="14">
        <f t="shared" si="26"/>
        <v>0</v>
      </c>
      <c r="X72" s="14">
        <f t="shared" si="23"/>
        <v>0</v>
      </c>
    </row>
    <row r="73" spans="1:24">
      <c r="A73" t="s">
        <v>187</v>
      </c>
      <c r="B73" s="13" t="str">
        <f>VLOOKUP(A73,თვითღირებულება!A:AC,2,0)</f>
        <v>ვენტილირებადი ევრო ყუთი მწვანე- M</v>
      </c>
      <c r="C73" s="14">
        <f>VLOOKUP(A73,თვითღირებულება!A:AC,6,0)</f>
        <v>3</v>
      </c>
      <c r="D73" s="14">
        <f>VLOOKUP(A73,თვითღირებულება!A:AC,15,0)</f>
        <v>0.94</v>
      </c>
      <c r="E73" s="14">
        <f>VLOOKUP(A73,თვითღირებულება!A:AC,12,0)</f>
        <v>2.08</v>
      </c>
      <c r="F73" s="14">
        <f>VLOOKUP(A73,თვითღირებულება!A:AC,11,0)</f>
        <v>6.65</v>
      </c>
      <c r="G73" s="14">
        <f t="shared" si="14"/>
        <v>13.832000000000001</v>
      </c>
      <c r="H73" s="14">
        <f>VLOOKUP(A73,თვითღირებულება!A:AC,9,0)</f>
        <v>2.88</v>
      </c>
      <c r="I73" s="14">
        <f>VLOOKUP(A73,თვითღირებულება!A:AC,16,0)</f>
        <v>17.649999999999999</v>
      </c>
      <c r="J73" s="14">
        <f>VLOOKUP(A73,თვითღირებულება!A:AC,17,0)</f>
        <v>15.101016949152541</v>
      </c>
      <c r="K73" s="14">
        <f>VLOOKUP(A73,[1]Sheet!$A:$G,7,0)</f>
        <v>0</v>
      </c>
      <c r="L73" s="14">
        <f>VLOOKUP(A73,[1]Sheet!$A:$J,10,0)</f>
        <v>32</v>
      </c>
      <c r="M73" s="14">
        <f t="shared" si="24"/>
        <v>27.118644067796613</v>
      </c>
      <c r="N73" s="14">
        <f t="shared" si="15"/>
        <v>0</v>
      </c>
      <c r="O73" s="14">
        <f t="shared" si="16"/>
        <v>0</v>
      </c>
      <c r="P73" s="14">
        <f t="shared" si="17"/>
        <v>0</v>
      </c>
      <c r="Q73" s="14">
        <f t="shared" si="18"/>
        <v>0</v>
      </c>
      <c r="R73" s="14">
        <f t="shared" si="19"/>
        <v>0</v>
      </c>
      <c r="S73" s="14">
        <f t="shared" si="20"/>
        <v>0</v>
      </c>
      <c r="T73" s="14">
        <f t="shared" si="21"/>
        <v>0</v>
      </c>
      <c r="U73" s="14">
        <f t="shared" si="22"/>
        <v>0</v>
      </c>
      <c r="V73" s="14">
        <f t="shared" si="25"/>
        <v>0</v>
      </c>
      <c r="W73" s="14">
        <f t="shared" si="26"/>
        <v>0</v>
      </c>
      <c r="X73" s="14">
        <f t="shared" si="23"/>
        <v>0</v>
      </c>
    </row>
    <row r="74" spans="1:24">
      <c r="A74" t="s">
        <v>171</v>
      </c>
      <c r="B74" s="13" t="str">
        <f>VLOOKUP(A74,თვითღირებულება!A:AC,2,0)</f>
        <v>ვენტილირებადი ევრო ყუთი წითელი - M</v>
      </c>
      <c r="C74" s="14">
        <f>VLOOKUP(A74,თვითღირებულება!A:AC,6,0)</f>
        <v>3</v>
      </c>
      <c r="D74" s="14">
        <f>VLOOKUP(A74,თვითღირებულება!A:AC,15,0)</f>
        <v>0.94</v>
      </c>
      <c r="E74" s="14">
        <f>VLOOKUP(A74,თვითღირებულება!A:AC,12,0)</f>
        <v>2.08</v>
      </c>
      <c r="F74" s="14">
        <f>VLOOKUP(A74,თვითღირებულება!A:AC,11,0)</f>
        <v>6.65</v>
      </c>
      <c r="G74" s="14">
        <f t="shared" si="14"/>
        <v>13.832000000000001</v>
      </c>
      <c r="H74" s="14">
        <f>VLOOKUP(A74,თვითღირებულება!A:AC,9,0)</f>
        <v>2.88</v>
      </c>
      <c r="I74" s="14">
        <f>VLOOKUP(A74,თვითღირებულება!A:AC,16,0)</f>
        <v>17.649999999999999</v>
      </c>
      <c r="J74" s="14">
        <f>VLOOKUP(A74,თვითღირებულება!A:AC,17,0)</f>
        <v>15.101016949152541</v>
      </c>
      <c r="K74" s="14">
        <f>VLOOKUP(A74,[1]Sheet!$A:$G,7,0)</f>
        <v>0</v>
      </c>
      <c r="L74" s="14">
        <f>VLOOKUP(A74,[1]Sheet!$A:$J,10,0)</f>
        <v>32</v>
      </c>
      <c r="M74" s="14">
        <f t="shared" si="24"/>
        <v>27.118644067796613</v>
      </c>
      <c r="N74" s="14">
        <f t="shared" si="15"/>
        <v>0</v>
      </c>
      <c r="O74" s="14">
        <f t="shared" si="16"/>
        <v>0</v>
      </c>
      <c r="P74" s="14">
        <f t="shared" si="17"/>
        <v>0</v>
      </c>
      <c r="Q74" s="14">
        <f t="shared" si="18"/>
        <v>0</v>
      </c>
      <c r="R74" s="14">
        <f t="shared" si="19"/>
        <v>0</v>
      </c>
      <c r="S74" s="14">
        <f t="shared" si="20"/>
        <v>0</v>
      </c>
      <c r="T74" s="14">
        <f t="shared" si="21"/>
        <v>0</v>
      </c>
      <c r="U74" s="14">
        <f t="shared" si="22"/>
        <v>0</v>
      </c>
      <c r="V74" s="14">
        <f t="shared" si="25"/>
        <v>0</v>
      </c>
      <c r="W74" s="14">
        <f t="shared" si="26"/>
        <v>0</v>
      </c>
      <c r="X74" s="14">
        <f t="shared" si="23"/>
        <v>0</v>
      </c>
    </row>
    <row r="75" spans="1:24">
      <c r="A75" t="s">
        <v>195</v>
      </c>
      <c r="B75" s="13" t="str">
        <f>VLOOKUP(A75,თვითღირებულება!A:AC,2,0)</f>
        <v>ვენტილირებადი ევრო ყუთი თეთრი - M</v>
      </c>
      <c r="C75" s="14">
        <f>VLOOKUP(A75,თვითღირებულება!A:AC,6,0)</f>
        <v>3</v>
      </c>
      <c r="D75" s="14">
        <f>VLOOKUP(A75,თვითღირებულება!A:AC,15,0)</f>
        <v>0.94</v>
      </c>
      <c r="E75" s="14">
        <f>VLOOKUP(A75,თვითღირებულება!A:AC,12,0)</f>
        <v>2.08</v>
      </c>
      <c r="F75" s="14">
        <f>VLOOKUP(A75,თვითღირებულება!A:AC,11,0)</f>
        <v>6.65</v>
      </c>
      <c r="G75" s="14">
        <f t="shared" si="14"/>
        <v>13.832000000000001</v>
      </c>
      <c r="H75" s="14">
        <f>VLOOKUP(A75,თვითღირებულება!A:AC,9,0)</f>
        <v>2.88</v>
      </c>
      <c r="I75" s="14">
        <f>VLOOKUP(A75,თვითღირებულება!A:AC,16,0)</f>
        <v>17.649999999999999</v>
      </c>
      <c r="J75" s="14">
        <f>VLOOKUP(A75,თვითღირებულება!A:AC,17,0)</f>
        <v>15.101016949152541</v>
      </c>
      <c r="K75" s="14">
        <f>VLOOKUP(A75,[1]Sheet!$A:$G,7,0)</f>
        <v>0</v>
      </c>
      <c r="L75" s="14">
        <f>VLOOKUP(A75,[1]Sheet!$A:$J,10,0)</f>
        <v>32</v>
      </c>
      <c r="M75" s="14">
        <f t="shared" si="24"/>
        <v>27.118644067796613</v>
      </c>
      <c r="N75" s="14">
        <f t="shared" si="15"/>
        <v>0</v>
      </c>
      <c r="O75" s="14">
        <f t="shared" si="16"/>
        <v>0</v>
      </c>
      <c r="P75" s="14">
        <f t="shared" si="17"/>
        <v>0</v>
      </c>
      <c r="Q75" s="14">
        <f t="shared" si="18"/>
        <v>0</v>
      </c>
      <c r="R75" s="14">
        <f t="shared" si="19"/>
        <v>0</v>
      </c>
      <c r="S75" s="14">
        <f t="shared" si="20"/>
        <v>0</v>
      </c>
      <c r="T75" s="14">
        <f t="shared" si="21"/>
        <v>0</v>
      </c>
      <c r="U75" s="14">
        <f t="shared" si="22"/>
        <v>0</v>
      </c>
      <c r="V75" s="14">
        <f t="shared" si="25"/>
        <v>0</v>
      </c>
      <c r="W75" s="14">
        <f t="shared" si="26"/>
        <v>0</v>
      </c>
      <c r="X75" s="14">
        <f t="shared" si="23"/>
        <v>0</v>
      </c>
    </row>
    <row r="76" spans="1:24">
      <c r="A76" t="s">
        <v>181</v>
      </c>
      <c r="B76" s="13" t="str">
        <f>VLOOKUP(A76,თვითღირებულება!A:AC,2,0)</f>
        <v>ვენტილირებადი ევრო ყუთი ყვითელი - M</v>
      </c>
      <c r="C76" s="14">
        <f>VLOOKUP(A76,თვითღირებულება!A:AC,6,0)</f>
        <v>3</v>
      </c>
      <c r="D76" s="14">
        <f>VLOOKUP(A76,თვითღირებულება!A:AC,15,0)</f>
        <v>0.94</v>
      </c>
      <c r="E76" s="14">
        <f>VLOOKUP(A76,თვითღირებულება!A:AC,12,0)</f>
        <v>2.08</v>
      </c>
      <c r="F76" s="14">
        <f>VLOOKUP(A76,თვითღირებულება!A:AC,11,0)</f>
        <v>6.65</v>
      </c>
      <c r="G76" s="14">
        <f t="shared" si="14"/>
        <v>13.832000000000001</v>
      </c>
      <c r="H76" s="14">
        <f>VLOOKUP(A76,თვითღირებულება!A:AC,9,0)</f>
        <v>2.88</v>
      </c>
      <c r="I76" s="14">
        <f>VLOOKUP(A76,თვითღირებულება!A:AC,16,0)</f>
        <v>17.649999999999999</v>
      </c>
      <c r="J76" s="14">
        <f>VLOOKUP(A76,თვითღირებულება!A:AC,17,0)</f>
        <v>15.101016949152541</v>
      </c>
      <c r="K76" s="14">
        <f>VLOOKUP(A76,[1]Sheet!$A:$G,7,0)</f>
        <v>0</v>
      </c>
      <c r="L76" s="14">
        <f>VLOOKUP(A76,[1]Sheet!$A:$J,10,0)</f>
        <v>32</v>
      </c>
      <c r="M76" s="14">
        <f t="shared" si="24"/>
        <v>27.118644067796613</v>
      </c>
      <c r="N76" s="14">
        <f t="shared" si="15"/>
        <v>0</v>
      </c>
      <c r="O76" s="14">
        <f t="shared" si="16"/>
        <v>0</v>
      </c>
      <c r="P76" s="14">
        <f t="shared" si="17"/>
        <v>0</v>
      </c>
      <c r="Q76" s="14">
        <f t="shared" si="18"/>
        <v>0</v>
      </c>
      <c r="R76" s="14">
        <f t="shared" si="19"/>
        <v>0</v>
      </c>
      <c r="S76" s="14">
        <f t="shared" si="20"/>
        <v>0</v>
      </c>
      <c r="T76" s="14">
        <f t="shared" si="21"/>
        <v>0</v>
      </c>
      <c r="U76" s="14">
        <f t="shared" si="22"/>
        <v>0</v>
      </c>
      <c r="V76" s="14">
        <f t="shared" si="25"/>
        <v>0</v>
      </c>
      <c r="W76" s="14">
        <f t="shared" si="26"/>
        <v>0</v>
      </c>
      <c r="X76" s="14">
        <f t="shared" si="23"/>
        <v>0</v>
      </c>
    </row>
    <row r="77" spans="1:24">
      <c r="A77" t="s">
        <v>175</v>
      </c>
      <c r="B77" s="13" t="str">
        <f>VLOOKUP(A77,თვითღირებულება!A:AC,2,0)</f>
        <v>ვენტილირებადი ევრო ყუთი შავი - S</v>
      </c>
      <c r="C77" s="14">
        <f>VLOOKUP(A77,თვითღირებულება!A:AC,6,0)</f>
        <v>3</v>
      </c>
      <c r="D77" s="14">
        <f>VLOOKUP(A77,თვითღირებულება!A:AC,15,0)</f>
        <v>0.94</v>
      </c>
      <c r="E77" s="14">
        <f>VLOOKUP(A77,თვითღირებულება!A:AC,12,0)</f>
        <v>1.85</v>
      </c>
      <c r="F77" s="14">
        <f>VLOOKUP(A77,თვითღირებულება!A:AC,11,0)</f>
        <v>6.65</v>
      </c>
      <c r="G77" s="14">
        <f t="shared" si="14"/>
        <v>12.302500000000002</v>
      </c>
      <c r="H77" s="14">
        <f>VLOOKUP(A77,თვითღირებულება!A:AC,9,0)</f>
        <v>2.88</v>
      </c>
      <c r="I77" s="14">
        <f>VLOOKUP(A77,თვითღირებულება!A:AC,16,0)</f>
        <v>16.12</v>
      </c>
      <c r="J77" s="14">
        <f>VLOOKUP(A77,თვითღირებულება!A:AC,17,0)</f>
        <v>13.804406779661019</v>
      </c>
      <c r="K77" s="14">
        <f>VLOOKUP(A77,[1]Sheet!$A:$G,7,0)</f>
        <v>0</v>
      </c>
      <c r="L77" s="14">
        <f>VLOOKUP(A77,[1]Sheet!$A:$J,10,0)</f>
        <v>25</v>
      </c>
      <c r="M77" s="14">
        <f t="shared" si="24"/>
        <v>21.186440677966104</v>
      </c>
      <c r="N77" s="14">
        <f t="shared" si="15"/>
        <v>0</v>
      </c>
      <c r="O77" s="14">
        <f t="shared" si="16"/>
        <v>0</v>
      </c>
      <c r="P77" s="14">
        <f t="shared" si="17"/>
        <v>0</v>
      </c>
      <c r="Q77" s="14">
        <f t="shared" si="18"/>
        <v>0</v>
      </c>
      <c r="R77" s="14">
        <f t="shared" si="19"/>
        <v>0</v>
      </c>
      <c r="S77" s="14">
        <f t="shared" si="20"/>
        <v>0</v>
      </c>
      <c r="T77" s="14">
        <f t="shared" si="21"/>
        <v>0</v>
      </c>
      <c r="U77" s="14">
        <f t="shared" si="22"/>
        <v>0</v>
      </c>
      <c r="V77" s="14">
        <f t="shared" si="25"/>
        <v>0</v>
      </c>
      <c r="W77" s="14">
        <f t="shared" si="26"/>
        <v>0</v>
      </c>
      <c r="X77" s="14">
        <f t="shared" si="23"/>
        <v>0</v>
      </c>
    </row>
    <row r="78" spans="1:24">
      <c r="A78" t="s">
        <v>183</v>
      </c>
      <c r="B78" s="13" t="str">
        <f>VLOOKUP(A78,თვითღირებულება!A:AC,2,0)</f>
        <v>ვენტილირებადი ევრო ყუთი მწვანე - S</v>
      </c>
      <c r="C78" s="14">
        <f>VLOOKUP(A78,თვითღირებულება!A:AC,6,0)</f>
        <v>3</v>
      </c>
      <c r="D78" s="14">
        <f>VLOOKUP(A78,თვითღირებულება!A:AC,15,0)</f>
        <v>0.94</v>
      </c>
      <c r="E78" s="14">
        <f>VLOOKUP(A78,თვითღირებულება!A:AC,12,0)</f>
        <v>1.85</v>
      </c>
      <c r="F78" s="14">
        <f>VLOOKUP(A78,თვითღირებულება!A:AC,11,0)</f>
        <v>6.65</v>
      </c>
      <c r="G78" s="14">
        <f t="shared" si="14"/>
        <v>12.302500000000002</v>
      </c>
      <c r="H78" s="14">
        <f>VLOOKUP(A78,თვითღირებულება!A:AC,9,0)</f>
        <v>2.88</v>
      </c>
      <c r="I78" s="14">
        <f>VLOOKUP(A78,თვითღირებულება!A:AC,16,0)</f>
        <v>16.12</v>
      </c>
      <c r="J78" s="14">
        <f>VLOOKUP(A78,თვითღირებულება!A:AC,17,0)</f>
        <v>13.804406779661019</v>
      </c>
      <c r="K78" s="14">
        <f>VLOOKUP(A78,[1]Sheet!$A:$G,7,0)</f>
        <v>0</v>
      </c>
      <c r="L78" s="14">
        <f>VLOOKUP(A78,[1]Sheet!$A:$J,10,0)</f>
        <v>25</v>
      </c>
      <c r="M78" s="14">
        <f t="shared" si="24"/>
        <v>21.186440677966104</v>
      </c>
      <c r="N78" s="14">
        <f t="shared" si="15"/>
        <v>0</v>
      </c>
      <c r="O78" s="14">
        <f t="shared" si="16"/>
        <v>0</v>
      </c>
      <c r="P78" s="14">
        <f t="shared" si="17"/>
        <v>0</v>
      </c>
      <c r="Q78" s="14">
        <f t="shared" si="18"/>
        <v>0</v>
      </c>
      <c r="R78" s="14">
        <f t="shared" si="19"/>
        <v>0</v>
      </c>
      <c r="S78" s="14">
        <f t="shared" si="20"/>
        <v>0</v>
      </c>
      <c r="T78" s="14">
        <f t="shared" si="21"/>
        <v>0</v>
      </c>
      <c r="U78" s="14">
        <f t="shared" si="22"/>
        <v>0</v>
      </c>
      <c r="V78" s="14">
        <f t="shared" si="25"/>
        <v>0</v>
      </c>
      <c r="W78" s="14">
        <f t="shared" si="26"/>
        <v>0</v>
      </c>
      <c r="X78" s="14">
        <f t="shared" si="23"/>
        <v>0</v>
      </c>
    </row>
    <row r="79" spans="1:24">
      <c r="A79" t="s">
        <v>149</v>
      </c>
      <c r="B79" s="13" t="str">
        <f>VLOOKUP(A79,თვითღირებულება!A:AC,2,0)</f>
        <v>სითხეგაუმტარი ევრო ყუთი შავი - M</v>
      </c>
      <c r="C79" s="14">
        <f>VLOOKUP(A79,თვითღირებულება!A:AC,6,0)</f>
        <v>3</v>
      </c>
      <c r="D79" s="14">
        <f>VLOOKUP(A79,თვითღირებულება!A:AC,15,0)</f>
        <v>0.94</v>
      </c>
      <c r="E79" s="14">
        <f>VLOOKUP(A79,თვითღირებულება!A:AC,12,0)</f>
        <v>3.35</v>
      </c>
      <c r="F79" s="14">
        <f>VLOOKUP(A79,თვითღირებულება!A:AC,11,0)</f>
        <v>6.65</v>
      </c>
      <c r="G79" s="14">
        <f t="shared" si="14"/>
        <v>22.277500000000003</v>
      </c>
      <c r="H79" s="14">
        <f>VLOOKUP(A79,თვითღირებულება!A:AC,9,0)</f>
        <v>2.88</v>
      </c>
      <c r="I79" s="14">
        <f>VLOOKUP(A79,თვითღირებულება!A:AC,16,0)</f>
        <v>26.1</v>
      </c>
      <c r="J79" s="14">
        <f>VLOOKUP(A79,თვითღირებულება!A:AC,17,0)</f>
        <v>22.262033898305088</v>
      </c>
      <c r="K79" s="14">
        <f>VLOOKUP(A79,[1]Sheet!$A:$G,7,0)</f>
        <v>0</v>
      </c>
      <c r="L79" s="14">
        <f>VLOOKUP(A79,[1]Sheet!$A:$J,10,0)</f>
        <v>37</v>
      </c>
      <c r="M79" s="14">
        <f t="shared" si="24"/>
        <v>31.35593220338983</v>
      </c>
      <c r="N79" s="14">
        <f t="shared" si="15"/>
        <v>0</v>
      </c>
      <c r="O79" s="14">
        <f t="shared" si="16"/>
        <v>0</v>
      </c>
      <c r="P79" s="14">
        <f t="shared" si="17"/>
        <v>0</v>
      </c>
      <c r="Q79" s="14">
        <f t="shared" si="18"/>
        <v>0</v>
      </c>
      <c r="R79" s="14">
        <f t="shared" si="19"/>
        <v>0</v>
      </c>
      <c r="S79" s="14">
        <f t="shared" si="20"/>
        <v>0</v>
      </c>
      <c r="T79" s="14">
        <f t="shared" si="21"/>
        <v>0</v>
      </c>
      <c r="U79" s="14">
        <f t="shared" si="22"/>
        <v>0</v>
      </c>
      <c r="V79" s="14">
        <f t="shared" si="25"/>
        <v>0</v>
      </c>
      <c r="W79" s="14">
        <f t="shared" si="26"/>
        <v>0</v>
      </c>
      <c r="X79" s="14">
        <f t="shared" si="23"/>
        <v>0</v>
      </c>
    </row>
    <row r="80" spans="1:24">
      <c r="A80" t="s">
        <v>167</v>
      </c>
      <c r="B80" s="13" t="str">
        <f>VLOOKUP(A80,თვითღირებულება!A:AC,2,0)</f>
        <v>სითხეგაუმტარი ევრო ყუთი ლურჯი - M</v>
      </c>
      <c r="C80" s="14">
        <f>VLOOKUP(A80,თვითღირებულება!A:AC,6,0)</f>
        <v>3</v>
      </c>
      <c r="D80" s="14">
        <f>VLOOKUP(A80,თვითღირებულება!A:AC,15,0)</f>
        <v>0.94</v>
      </c>
      <c r="E80" s="14">
        <f>VLOOKUP(A80,თვითღირებულება!A:AC,12,0)</f>
        <v>3.35</v>
      </c>
      <c r="F80" s="14">
        <f>VLOOKUP(A80,თვითღირებულება!A:AC,11,0)</f>
        <v>6.65</v>
      </c>
      <c r="G80" s="14">
        <f t="shared" si="14"/>
        <v>22.277500000000003</v>
      </c>
      <c r="H80" s="14">
        <f>VLOOKUP(A80,თვითღირებულება!A:AC,9,0)</f>
        <v>2.88</v>
      </c>
      <c r="I80" s="14">
        <f>VLOOKUP(A80,თვითღირებულება!A:AC,16,0)</f>
        <v>26.1</v>
      </c>
      <c r="J80" s="14">
        <f>VLOOKUP(A80,თვითღირებულება!A:AC,17,0)</f>
        <v>22.262033898305088</v>
      </c>
      <c r="K80" s="14">
        <f>VLOOKUP(A80,[1]Sheet!$A:$G,7,0)</f>
        <v>0</v>
      </c>
      <c r="L80" s="14">
        <f>VLOOKUP(A80,[1]Sheet!$A:$J,10,0)</f>
        <v>37</v>
      </c>
      <c r="M80" s="14">
        <f t="shared" si="24"/>
        <v>31.35593220338983</v>
      </c>
      <c r="N80" s="14">
        <f t="shared" si="15"/>
        <v>0</v>
      </c>
      <c r="O80" s="14">
        <f t="shared" si="16"/>
        <v>0</v>
      </c>
      <c r="P80" s="14">
        <f t="shared" si="17"/>
        <v>0</v>
      </c>
      <c r="Q80" s="14">
        <f t="shared" si="18"/>
        <v>0</v>
      </c>
      <c r="R80" s="14">
        <f t="shared" si="19"/>
        <v>0</v>
      </c>
      <c r="S80" s="14">
        <f t="shared" si="20"/>
        <v>0</v>
      </c>
      <c r="T80" s="14">
        <f t="shared" si="21"/>
        <v>0</v>
      </c>
      <c r="U80" s="14">
        <f t="shared" si="22"/>
        <v>0</v>
      </c>
      <c r="V80" s="14">
        <f t="shared" si="25"/>
        <v>0</v>
      </c>
      <c r="W80" s="14">
        <f t="shared" si="26"/>
        <v>0</v>
      </c>
      <c r="X80" s="14">
        <f t="shared" si="23"/>
        <v>0</v>
      </c>
    </row>
    <row r="81" spans="1:24">
      <c r="A81" t="s">
        <v>161</v>
      </c>
      <c r="B81" s="13" t="str">
        <f>VLOOKUP(A81,თვითღირებულება!A:AC,2,0)</f>
        <v>სითხეგაუმტარი ევრო ყუთი მწვანე - M</v>
      </c>
      <c r="C81" s="14">
        <f>VLOOKUP(A81,თვითღირებულება!A:AC,6,0)</f>
        <v>3</v>
      </c>
      <c r="D81" s="14">
        <f>VLOOKUP(A81,თვითღირებულება!A:AC,15,0)</f>
        <v>0.94</v>
      </c>
      <c r="E81" s="14">
        <f>VLOOKUP(A81,თვითღირებულება!A:AC,12,0)</f>
        <v>3.35</v>
      </c>
      <c r="F81" s="14">
        <f>VLOOKUP(A81,თვითღირებულება!A:AC,11,0)</f>
        <v>6.65</v>
      </c>
      <c r="G81" s="14">
        <f t="shared" si="14"/>
        <v>22.277500000000003</v>
      </c>
      <c r="H81" s="14">
        <f>VLOOKUP(A81,თვითღირებულება!A:AC,9,0)</f>
        <v>2.88</v>
      </c>
      <c r="I81" s="14">
        <f>VLOOKUP(A81,თვითღირებულება!A:AC,16,0)</f>
        <v>26.1</v>
      </c>
      <c r="J81" s="14">
        <f>VLOOKUP(A81,თვითღირებულება!A:AC,17,0)</f>
        <v>22.262033898305088</v>
      </c>
      <c r="K81" s="14">
        <f>VLOOKUP(A81,[1]Sheet!$A:$G,7,0)</f>
        <v>0</v>
      </c>
      <c r="L81" s="14">
        <f>VLOOKUP(A81,[1]Sheet!$A:$J,10,0)</f>
        <v>37</v>
      </c>
      <c r="M81" s="14">
        <f t="shared" si="24"/>
        <v>31.35593220338983</v>
      </c>
      <c r="N81" s="14">
        <f t="shared" si="15"/>
        <v>0</v>
      </c>
      <c r="O81" s="14">
        <f t="shared" si="16"/>
        <v>0</v>
      </c>
      <c r="P81" s="14">
        <f t="shared" si="17"/>
        <v>0</v>
      </c>
      <c r="Q81" s="14">
        <f t="shared" si="18"/>
        <v>0</v>
      </c>
      <c r="R81" s="14">
        <f t="shared" si="19"/>
        <v>0</v>
      </c>
      <c r="S81" s="14">
        <f t="shared" si="20"/>
        <v>0</v>
      </c>
      <c r="T81" s="14">
        <f t="shared" si="21"/>
        <v>0</v>
      </c>
      <c r="U81" s="14">
        <f t="shared" si="22"/>
        <v>0</v>
      </c>
      <c r="V81" s="14">
        <f t="shared" si="25"/>
        <v>0</v>
      </c>
      <c r="W81" s="14">
        <f t="shared" si="26"/>
        <v>0</v>
      </c>
      <c r="X81" s="14">
        <f t="shared" si="23"/>
        <v>0</v>
      </c>
    </row>
    <row r="82" spans="1:24">
      <c r="A82" t="s">
        <v>157</v>
      </c>
      <c r="B82" s="13" t="str">
        <f>VLOOKUP(A82,თვითღირებულება!A:AC,2,0)</f>
        <v>სითხეგაუმტარი ევრო ყუთი სტაფილოსფერი  - M</v>
      </c>
      <c r="C82" s="14">
        <f>VLOOKUP(A82,თვითღირებულება!A:AC,6,0)</f>
        <v>3</v>
      </c>
      <c r="D82" s="14">
        <f>VLOOKUP(A82,თვითღირებულება!A:AC,15,0)</f>
        <v>0.94</v>
      </c>
      <c r="E82" s="14">
        <f>VLOOKUP(A82,თვითღირებულება!A:AC,12,0)</f>
        <v>3.35</v>
      </c>
      <c r="F82" s="14">
        <f>VLOOKUP(A82,თვითღირებულება!A:AC,11,0)</f>
        <v>6.65</v>
      </c>
      <c r="G82" s="14">
        <f t="shared" si="14"/>
        <v>22.277500000000003</v>
      </c>
      <c r="H82" s="14">
        <f>VLOOKUP(A82,თვითღირებულება!A:AC,9,0)</f>
        <v>2.88</v>
      </c>
      <c r="I82" s="14">
        <f>VLOOKUP(A82,თვითღირებულება!A:AC,16,0)</f>
        <v>26.1</v>
      </c>
      <c r="J82" s="14">
        <f>VLOOKUP(A82,თვითღირებულება!A:AC,17,0)</f>
        <v>22.262033898305088</v>
      </c>
      <c r="K82" s="14">
        <f>VLOOKUP(A82,[1]Sheet!$A:$G,7,0)</f>
        <v>0</v>
      </c>
      <c r="L82" s="14">
        <f>VLOOKUP(A82,[1]Sheet!$A:$J,10,0)</f>
        <v>37</v>
      </c>
      <c r="M82" s="14">
        <f t="shared" si="24"/>
        <v>31.35593220338983</v>
      </c>
      <c r="N82" s="14">
        <f t="shared" si="15"/>
        <v>0</v>
      </c>
      <c r="O82" s="14">
        <f t="shared" si="16"/>
        <v>0</v>
      </c>
      <c r="P82" s="14">
        <f t="shared" si="17"/>
        <v>0</v>
      </c>
      <c r="Q82" s="14">
        <f t="shared" si="18"/>
        <v>0</v>
      </c>
      <c r="R82" s="14">
        <f t="shared" si="19"/>
        <v>0</v>
      </c>
      <c r="S82" s="14">
        <f t="shared" si="20"/>
        <v>0</v>
      </c>
      <c r="T82" s="14">
        <f t="shared" si="21"/>
        <v>0</v>
      </c>
      <c r="U82" s="14">
        <f t="shared" si="22"/>
        <v>0</v>
      </c>
      <c r="V82" s="14">
        <f t="shared" si="25"/>
        <v>0</v>
      </c>
      <c r="W82" s="14">
        <f t="shared" si="26"/>
        <v>0</v>
      </c>
      <c r="X82" s="14">
        <f t="shared" si="23"/>
        <v>0</v>
      </c>
    </row>
    <row r="83" spans="1:24">
      <c r="A83" t="s">
        <v>143</v>
      </c>
      <c r="B83" s="13" t="str">
        <f>VLOOKUP(A83,თვითღირებულება!A:AC,2,0)</f>
        <v>სითხეგაუმტარი ევრო ყუთი წითელი - M</v>
      </c>
      <c r="C83" s="14">
        <f>VLOOKUP(A83,თვითღირებულება!A:AC,6,0)</f>
        <v>3</v>
      </c>
      <c r="D83" s="14">
        <f>VLOOKUP(A83,თვითღირებულება!A:AC,15,0)</f>
        <v>0.94</v>
      </c>
      <c r="E83" s="14">
        <f>VLOOKUP(A83,თვითღირებულება!A:AC,12,0)</f>
        <v>3.35</v>
      </c>
      <c r="F83" s="14">
        <f>VLOOKUP(A83,თვითღირებულება!A:AC,11,0)</f>
        <v>6.65</v>
      </c>
      <c r="G83" s="14">
        <f t="shared" si="14"/>
        <v>22.277500000000003</v>
      </c>
      <c r="H83" s="14">
        <f>VLOOKUP(A83,თვითღირებულება!A:AC,9,0)</f>
        <v>2.88</v>
      </c>
      <c r="I83" s="14">
        <f>VLOOKUP(A83,თვითღირებულება!A:AC,16,0)</f>
        <v>26.1</v>
      </c>
      <c r="J83" s="14">
        <f>VLOOKUP(A83,თვითღირებულება!A:AC,17,0)</f>
        <v>22.262033898305088</v>
      </c>
      <c r="K83" s="14">
        <f>VLOOKUP(A83,[1]Sheet!$A:$G,7,0)</f>
        <v>0</v>
      </c>
      <c r="L83" s="14">
        <f>VLOOKUP(A83,[1]Sheet!$A:$J,10,0)</f>
        <v>37</v>
      </c>
      <c r="M83" s="14">
        <f t="shared" si="24"/>
        <v>31.35593220338983</v>
      </c>
      <c r="N83" s="14">
        <f t="shared" si="15"/>
        <v>0</v>
      </c>
      <c r="O83" s="14">
        <f t="shared" si="16"/>
        <v>0</v>
      </c>
      <c r="P83" s="14">
        <f t="shared" si="17"/>
        <v>0</v>
      </c>
      <c r="Q83" s="14">
        <f t="shared" si="18"/>
        <v>0</v>
      </c>
      <c r="R83" s="14">
        <f t="shared" si="19"/>
        <v>0</v>
      </c>
      <c r="S83" s="14">
        <f t="shared" si="20"/>
        <v>0</v>
      </c>
      <c r="T83" s="14">
        <f t="shared" si="21"/>
        <v>0</v>
      </c>
      <c r="U83" s="14">
        <f t="shared" si="22"/>
        <v>0</v>
      </c>
      <c r="V83" s="14">
        <f t="shared" si="25"/>
        <v>0</v>
      </c>
      <c r="W83" s="14">
        <f t="shared" si="26"/>
        <v>0</v>
      </c>
      <c r="X83" s="14">
        <f t="shared" si="23"/>
        <v>0</v>
      </c>
    </row>
    <row r="84" spans="1:24">
      <c r="A84" t="s">
        <v>153</v>
      </c>
      <c r="B84" s="13" t="str">
        <f>VLOOKUP(A84,თვითღირებულება!A:AC,2,0)</f>
        <v>სითხეგაუმტარი ევრო ყუთი ყვითელი - M</v>
      </c>
      <c r="C84" s="14">
        <f>VLOOKUP(A84,თვითღირებულება!A:AC,6,0)</f>
        <v>3</v>
      </c>
      <c r="D84" s="14">
        <f>VLOOKUP(A84,თვითღირებულება!A:AC,15,0)</f>
        <v>0.94</v>
      </c>
      <c r="E84" s="14">
        <f>VLOOKUP(A84,თვითღირებულება!A:AC,12,0)</f>
        <v>3.35</v>
      </c>
      <c r="F84" s="14">
        <f>VLOOKUP(A84,თვითღირებულება!A:AC,11,0)</f>
        <v>6.65</v>
      </c>
      <c r="G84" s="14">
        <f t="shared" si="14"/>
        <v>22.277500000000003</v>
      </c>
      <c r="H84" s="14">
        <f>VLOOKUP(A84,თვითღირებულება!A:AC,9,0)</f>
        <v>2.88</v>
      </c>
      <c r="I84" s="14">
        <f>VLOOKUP(A84,თვითღირებულება!A:AC,16,0)</f>
        <v>26.1</v>
      </c>
      <c r="J84" s="14">
        <f>VLOOKUP(A84,თვითღირებულება!A:AC,17,0)</f>
        <v>22.262033898305088</v>
      </c>
      <c r="K84" s="14">
        <f>VLOOKUP(A84,[1]Sheet!$A:$G,7,0)</f>
        <v>0</v>
      </c>
      <c r="L84" s="14">
        <f>VLOOKUP(A84,[1]Sheet!$A:$J,10,0)</f>
        <v>37</v>
      </c>
      <c r="M84" s="14">
        <f t="shared" si="24"/>
        <v>31.35593220338983</v>
      </c>
      <c r="N84" s="14">
        <f t="shared" si="15"/>
        <v>0</v>
      </c>
      <c r="O84" s="14">
        <f t="shared" si="16"/>
        <v>0</v>
      </c>
      <c r="P84" s="14">
        <f t="shared" si="17"/>
        <v>0</v>
      </c>
      <c r="Q84" s="14">
        <f t="shared" si="18"/>
        <v>0</v>
      </c>
      <c r="R84" s="14">
        <f t="shared" si="19"/>
        <v>0</v>
      </c>
      <c r="S84" s="14">
        <f t="shared" si="20"/>
        <v>0</v>
      </c>
      <c r="T84" s="14">
        <f t="shared" si="21"/>
        <v>0</v>
      </c>
      <c r="U84" s="14">
        <f t="shared" si="22"/>
        <v>0</v>
      </c>
      <c r="V84" s="14">
        <f t="shared" si="25"/>
        <v>0</v>
      </c>
      <c r="W84" s="14">
        <f t="shared" si="26"/>
        <v>0</v>
      </c>
      <c r="X84" s="14">
        <f t="shared" si="23"/>
        <v>0</v>
      </c>
    </row>
    <row r="85" spans="1:24">
      <c r="A85" t="s">
        <v>199</v>
      </c>
      <c r="B85" s="13" t="str">
        <f>VLOOKUP(A85,თვითღირებულება!A:AC,2,0)</f>
        <v>აგრო-კონტეინერი „ეკონომ-პლუსი“ შავი</v>
      </c>
      <c r="C85" s="14">
        <f>VLOOKUP(A85,თვითღირებულება!A:AC,6,0)</f>
        <v>1.7</v>
      </c>
      <c r="D85" s="14">
        <f>VLOOKUP(A85,თვითღირებულება!A:AC,15,0)</f>
        <v>0.53</v>
      </c>
      <c r="E85" s="14">
        <f>VLOOKUP(A85,თვითღირებულება!A:AC,12,0)</f>
        <v>0.88</v>
      </c>
      <c r="F85" s="14">
        <f>VLOOKUP(A85,თვითღირებულება!A:AC,11,0)</f>
        <v>6.65</v>
      </c>
      <c r="G85" s="14">
        <f t="shared" si="14"/>
        <v>5.8520000000000003</v>
      </c>
      <c r="H85" s="14">
        <f>VLOOKUP(A85,თვითღირებულება!A:AC,9,0)</f>
        <v>1.0900000000000001</v>
      </c>
      <c r="I85" s="14">
        <f>VLOOKUP(A85,თვითღირებულება!A:AC,16,0)</f>
        <v>7.47</v>
      </c>
      <c r="J85" s="14">
        <f>VLOOKUP(A85,თვითღირებულება!A:AC,17,0)</f>
        <v>6.4113559322033895</v>
      </c>
      <c r="K85" s="14">
        <f>VLOOKUP(A85,[1]Sheet!$A:$G,7,0)</f>
        <v>7</v>
      </c>
      <c r="L85" s="14">
        <f>VLOOKUP(A85,[1]Sheet!$A:$J,10,0)</f>
        <v>15</v>
      </c>
      <c r="M85" s="14">
        <f t="shared" si="24"/>
        <v>12.711864406779661</v>
      </c>
      <c r="N85" s="14">
        <f t="shared" si="15"/>
        <v>11.9</v>
      </c>
      <c r="O85" s="14">
        <f t="shared" si="16"/>
        <v>7.6300000000000008</v>
      </c>
      <c r="P85" s="14">
        <f t="shared" si="17"/>
        <v>2.4791666666666667E-2</v>
      </c>
      <c r="Q85" s="14">
        <f t="shared" si="18"/>
        <v>3.71</v>
      </c>
      <c r="R85" s="14">
        <f t="shared" si="19"/>
        <v>6.16</v>
      </c>
      <c r="S85" s="14">
        <f t="shared" si="20"/>
        <v>40.964000000000006</v>
      </c>
      <c r="T85" s="14">
        <f t="shared" si="21"/>
        <v>52.29</v>
      </c>
      <c r="U85" s="14">
        <f t="shared" si="22"/>
        <v>44.879491525423724</v>
      </c>
      <c r="V85" s="14">
        <f t="shared" si="25"/>
        <v>105</v>
      </c>
      <c r="W85" s="14">
        <f t="shared" si="26"/>
        <v>88.983050847457633</v>
      </c>
      <c r="X85" s="14">
        <f>W85-U85</f>
        <v>44.103559322033909</v>
      </c>
    </row>
    <row r="86" spans="1:24">
      <c r="A86" t="s">
        <v>211</v>
      </c>
      <c r="B86" s="13" t="str">
        <f>VLOOKUP(A86,თვითღირებულება!A:AC,2,0)</f>
        <v>აგრო-კონტეინერი „ეკონომ-პლუსი“ მწვანე</v>
      </c>
      <c r="C86" s="14">
        <f>VLOOKUP(A86,თვითღირებულება!A:AC,6,0)</f>
        <v>1.7</v>
      </c>
      <c r="D86" s="14">
        <f>VLOOKUP(A86,თვითღირებულება!A:AC,15,0)</f>
        <v>0.53</v>
      </c>
      <c r="E86" s="14">
        <f>VLOOKUP(A86,თვითღირებულება!A:AC,12,0)</f>
        <v>0.88</v>
      </c>
      <c r="F86" s="14">
        <f>VLOOKUP(A86,თვითღირებულება!A:AC,11,0)</f>
        <v>6.65</v>
      </c>
      <c r="G86" s="14">
        <f t="shared" si="14"/>
        <v>5.8520000000000003</v>
      </c>
      <c r="H86" s="14">
        <f>VLOOKUP(A86,თვითღირებულება!A:AC,9,0)</f>
        <v>1.0900000000000001</v>
      </c>
      <c r="I86" s="14">
        <f>VLOOKUP(A86,თვითღირებულება!A:AC,16,0)</f>
        <v>7.47</v>
      </c>
      <c r="J86" s="14">
        <f>VLOOKUP(A86,თვითღირებულება!A:AC,17,0)</f>
        <v>6.4113559322033895</v>
      </c>
      <c r="K86" s="14">
        <f>VLOOKUP(A86,[1]Sheet!$A:$G,7,0)</f>
        <v>0</v>
      </c>
      <c r="L86" s="14">
        <f>VLOOKUP(A86,[1]Sheet!$A:$J,10,0)</f>
        <v>15</v>
      </c>
      <c r="M86" s="14">
        <f t="shared" si="24"/>
        <v>12.711864406779661</v>
      </c>
      <c r="N86" s="14">
        <f t="shared" si="15"/>
        <v>0</v>
      </c>
      <c r="O86" s="14">
        <f t="shared" si="16"/>
        <v>0</v>
      </c>
      <c r="P86" s="14">
        <f t="shared" si="17"/>
        <v>0</v>
      </c>
      <c r="Q86" s="14">
        <f t="shared" si="18"/>
        <v>0</v>
      </c>
      <c r="R86" s="14">
        <f t="shared" si="19"/>
        <v>0</v>
      </c>
      <c r="S86" s="14">
        <f t="shared" si="20"/>
        <v>0</v>
      </c>
      <c r="T86" s="14">
        <f t="shared" si="21"/>
        <v>0</v>
      </c>
      <c r="U86" s="14">
        <f t="shared" si="22"/>
        <v>0</v>
      </c>
      <c r="V86" s="14">
        <f t="shared" si="25"/>
        <v>0</v>
      </c>
      <c r="W86" s="14">
        <f t="shared" si="26"/>
        <v>0</v>
      </c>
      <c r="X86" s="14">
        <f t="shared" si="23"/>
        <v>0</v>
      </c>
    </row>
    <row r="87" spans="1:24">
      <c r="A87" t="s">
        <v>3</v>
      </c>
      <c r="B87" s="13" t="str">
        <f>VLOOKUP(A87,თვითღირებულება!A:AC,2,0)</f>
        <v>აგრო-კონტეინერი „ეკონომ-პლუსი“ თეთრი</v>
      </c>
      <c r="C87" s="14">
        <f>VLOOKUP(A87,თვითღირებულება!A:AC,6,0)</f>
        <v>1.7</v>
      </c>
      <c r="D87" s="14">
        <f>VLOOKUP(A87,თვითღირებულება!A:AC,15,0)</f>
        <v>0.53</v>
      </c>
      <c r="E87" s="14">
        <f>VLOOKUP(A87,თვითღირებულება!A:AC,12,0)</f>
        <v>0.88</v>
      </c>
      <c r="F87" s="14">
        <f>VLOOKUP(A87,თვითღირებულება!A:AC,11,0)</f>
        <v>6.65</v>
      </c>
      <c r="G87" s="14">
        <f t="shared" ref="G87:G101" si="27">E87*F87</f>
        <v>5.8520000000000003</v>
      </c>
      <c r="H87" s="14">
        <f>VLOOKUP(A87,თვითღირებულება!A:AC,9,0)</f>
        <v>1.0900000000000001</v>
      </c>
      <c r="I87" s="14">
        <f>VLOOKUP(A87,თვითღირებულება!A:AC,16,0)</f>
        <v>7.47</v>
      </c>
      <c r="J87" s="14">
        <f>VLOOKUP(A87,თვითღირებულება!A:AC,17,0)</f>
        <v>6.4113559322033895</v>
      </c>
      <c r="K87" s="14">
        <f>VLOOKUP(A87,[1]Sheet!$A:$G,7,0)</f>
        <v>0</v>
      </c>
      <c r="L87" s="14">
        <f>VLOOKUP(A87,[1]Sheet!$A:$J,10,0)</f>
        <v>15</v>
      </c>
      <c r="M87" s="14">
        <f t="shared" si="24"/>
        <v>12.711864406779661</v>
      </c>
      <c r="N87" s="14">
        <f t="shared" ref="N87:N101" si="28">K87*C87</f>
        <v>0</v>
      </c>
      <c r="O87" s="14">
        <f t="shared" ref="O87:O101" si="29">K87*H87</f>
        <v>0</v>
      </c>
      <c r="P87" s="14">
        <f t="shared" ref="P87:P101" si="30">N87/8/60</f>
        <v>0</v>
      </c>
      <c r="Q87" s="14">
        <f t="shared" ref="Q87:Q101" si="31">K87*D87</f>
        <v>0</v>
      </c>
      <c r="R87" s="14">
        <f t="shared" ref="R87:R101" si="32">K87*E87</f>
        <v>0</v>
      </c>
      <c r="S87" s="14">
        <f t="shared" ref="S87:S101" si="33">K87*E87*F87</f>
        <v>0</v>
      </c>
      <c r="T87" s="14">
        <f t="shared" ref="T87:T101" si="34">K87*I87</f>
        <v>0</v>
      </c>
      <c r="U87" s="14">
        <f t="shared" ref="U87:U101" si="35">K87*J87</f>
        <v>0</v>
      </c>
      <c r="V87" s="14">
        <f t="shared" si="25"/>
        <v>0</v>
      </c>
      <c r="W87" s="14">
        <f t="shared" si="26"/>
        <v>0</v>
      </c>
      <c r="X87" s="14">
        <f t="shared" ref="X87:X101" si="36">W87-U87</f>
        <v>0</v>
      </c>
    </row>
    <row r="88" spans="1:24">
      <c r="A88" t="s">
        <v>151</v>
      </c>
      <c r="B88" s="13" t="str">
        <f>VLOOKUP(A88,თვითღირებულება!A:AC,2,0)</f>
        <v>სითხეგაუმტარი ევრო ყუთი შავი - L</v>
      </c>
      <c r="C88" s="14">
        <f>VLOOKUP(A88,თვითღირებულება!A:AC,6,0)</f>
        <v>3</v>
      </c>
      <c r="D88" s="14">
        <f>VLOOKUP(A88,თვითღირებულება!A:AC,15,0)</f>
        <v>0.94</v>
      </c>
      <c r="E88" s="14">
        <f>VLOOKUP(A88,თვითღირებულება!A:AC,12,0)</f>
        <v>3.8</v>
      </c>
      <c r="F88" s="14">
        <f>VLOOKUP(A88,თვითღირებულება!A:AC,11,0)</f>
        <v>5</v>
      </c>
      <c r="G88" s="14">
        <f t="shared" si="27"/>
        <v>19</v>
      </c>
      <c r="H88" s="14">
        <f>VLOOKUP(A88,თვითღირებულება!A:AC,9,0)</f>
        <v>2.88</v>
      </c>
      <c r="I88" s="14">
        <f>VLOOKUP(A88,თვითღირებულება!A:AC,16,0)</f>
        <v>22.82</v>
      </c>
      <c r="J88" s="14">
        <f>VLOOKUP(A88,თვითღირებულება!A:AC,17,0)</f>
        <v>19.482372881355936</v>
      </c>
      <c r="K88" s="14">
        <f>VLOOKUP(A88,[1]Sheet!$A:$G,7,0)</f>
        <v>0</v>
      </c>
      <c r="L88" s="14">
        <f>VLOOKUP(A88,[1]Sheet!$A:$J,10,0)</f>
        <v>40</v>
      </c>
      <c r="M88" s="14">
        <f t="shared" si="24"/>
        <v>33.898305084745765</v>
      </c>
      <c r="N88" s="14">
        <f t="shared" si="28"/>
        <v>0</v>
      </c>
      <c r="O88" s="14">
        <f t="shared" si="29"/>
        <v>0</v>
      </c>
      <c r="P88" s="14">
        <f t="shared" si="30"/>
        <v>0</v>
      </c>
      <c r="Q88" s="14">
        <f t="shared" si="31"/>
        <v>0</v>
      </c>
      <c r="R88" s="14">
        <f t="shared" si="32"/>
        <v>0</v>
      </c>
      <c r="S88" s="14">
        <f t="shared" si="33"/>
        <v>0</v>
      </c>
      <c r="T88" s="14">
        <f t="shared" si="34"/>
        <v>0</v>
      </c>
      <c r="U88" s="14">
        <f t="shared" si="35"/>
        <v>0</v>
      </c>
      <c r="V88" s="14">
        <f t="shared" si="25"/>
        <v>0</v>
      </c>
      <c r="W88" s="14">
        <f t="shared" si="26"/>
        <v>0</v>
      </c>
      <c r="X88" s="14">
        <f t="shared" si="36"/>
        <v>0</v>
      </c>
    </row>
    <row r="89" spans="1:24">
      <c r="A89" t="s">
        <v>169</v>
      </c>
      <c r="B89" s="13" t="str">
        <f>VLOOKUP(A89,თვითღირებულება!A:AC,2,0)</f>
        <v>სითხეგაუმტარი ევრო ყუთი ლურჯი- L</v>
      </c>
      <c r="C89" s="14">
        <f>VLOOKUP(A89,თვითღირებულება!A:AC,6,0)</f>
        <v>3</v>
      </c>
      <c r="D89" s="14">
        <f>VLOOKUP(A89,თვითღირებულება!A:AC,15,0)</f>
        <v>0.94</v>
      </c>
      <c r="E89" s="14">
        <f>VLOOKUP(A89,თვითღირებულება!A:AC,12,0)</f>
        <v>3.8</v>
      </c>
      <c r="F89" s="14">
        <f>VLOOKUP(A89,თვითღირებულება!A:AC,11,0)</f>
        <v>5</v>
      </c>
      <c r="G89" s="14">
        <f t="shared" si="27"/>
        <v>19</v>
      </c>
      <c r="H89" s="14">
        <f>VLOOKUP(A89,თვითღირებულება!A:AC,9,0)</f>
        <v>2.88</v>
      </c>
      <c r="I89" s="14">
        <f>VLOOKUP(A89,თვითღირებულება!A:AC,16,0)</f>
        <v>22.82</v>
      </c>
      <c r="J89" s="14">
        <f>VLOOKUP(A89,თვითღირებულება!A:AC,17,0)</f>
        <v>19.482372881355936</v>
      </c>
      <c r="K89" s="14">
        <f>VLOOKUP(A89,[1]Sheet!$A:$G,7,0)</f>
        <v>0</v>
      </c>
      <c r="L89" s="14">
        <f>VLOOKUP(A89,[1]Sheet!$A:$J,10,0)</f>
        <v>40</v>
      </c>
      <c r="M89" s="14">
        <f t="shared" si="24"/>
        <v>33.898305084745765</v>
      </c>
      <c r="N89" s="14">
        <f t="shared" si="28"/>
        <v>0</v>
      </c>
      <c r="O89" s="14">
        <f t="shared" si="29"/>
        <v>0</v>
      </c>
      <c r="P89" s="14">
        <f t="shared" si="30"/>
        <v>0</v>
      </c>
      <c r="Q89" s="14">
        <f t="shared" si="31"/>
        <v>0</v>
      </c>
      <c r="R89" s="14">
        <f t="shared" si="32"/>
        <v>0</v>
      </c>
      <c r="S89" s="14">
        <f t="shared" si="33"/>
        <v>0</v>
      </c>
      <c r="T89" s="14">
        <f t="shared" si="34"/>
        <v>0</v>
      </c>
      <c r="U89" s="14">
        <f t="shared" si="35"/>
        <v>0</v>
      </c>
      <c r="V89" s="14">
        <f t="shared" si="25"/>
        <v>0</v>
      </c>
      <c r="W89" s="14">
        <f t="shared" si="26"/>
        <v>0</v>
      </c>
      <c r="X89" s="14">
        <f t="shared" si="36"/>
        <v>0</v>
      </c>
    </row>
    <row r="90" spans="1:24">
      <c r="A90" t="s">
        <v>163</v>
      </c>
      <c r="B90" s="13" t="str">
        <f>VLOOKUP(A90,თვითღირებულება!A:AC,2,0)</f>
        <v>სითხეგაუმტარი ევრო ყუთი მწვანე - L</v>
      </c>
      <c r="C90" s="14">
        <f>VLOOKUP(A90,თვითღირებულება!A:AC,6,0)</f>
        <v>3</v>
      </c>
      <c r="D90" s="14">
        <f>VLOOKUP(A90,თვითღირებულება!A:AC,15,0)</f>
        <v>0.94</v>
      </c>
      <c r="E90" s="14">
        <f>VLOOKUP(A90,თვითღირებულება!A:AC,12,0)</f>
        <v>3.8</v>
      </c>
      <c r="F90" s="14">
        <f>VLOOKUP(A90,თვითღირებულება!A:AC,11,0)</f>
        <v>5</v>
      </c>
      <c r="G90" s="14">
        <f t="shared" si="27"/>
        <v>19</v>
      </c>
      <c r="H90" s="14">
        <f>VLOOKUP(A90,თვითღირებულება!A:AC,9,0)</f>
        <v>2.88</v>
      </c>
      <c r="I90" s="14">
        <f>VLOOKUP(A90,თვითღირებულება!A:AC,16,0)</f>
        <v>22.82</v>
      </c>
      <c r="J90" s="14">
        <f>VLOOKUP(A90,თვითღირებულება!A:AC,17,0)</f>
        <v>19.482372881355936</v>
      </c>
      <c r="K90" s="14">
        <f>VLOOKUP(A90,[1]Sheet!$A:$G,7,0)</f>
        <v>0</v>
      </c>
      <c r="L90" s="14">
        <f>VLOOKUP(A90,[1]Sheet!$A:$J,10,0)</f>
        <v>40</v>
      </c>
      <c r="M90" s="14">
        <f t="shared" si="24"/>
        <v>33.898305084745765</v>
      </c>
      <c r="N90" s="14">
        <f t="shared" si="28"/>
        <v>0</v>
      </c>
      <c r="O90" s="14">
        <f t="shared" si="29"/>
        <v>0</v>
      </c>
      <c r="P90" s="14">
        <f t="shared" si="30"/>
        <v>0</v>
      </c>
      <c r="Q90" s="14">
        <f t="shared" si="31"/>
        <v>0</v>
      </c>
      <c r="R90" s="14">
        <f t="shared" si="32"/>
        <v>0</v>
      </c>
      <c r="S90" s="14">
        <f t="shared" si="33"/>
        <v>0</v>
      </c>
      <c r="T90" s="14">
        <f t="shared" si="34"/>
        <v>0</v>
      </c>
      <c r="U90" s="14">
        <f t="shared" si="35"/>
        <v>0</v>
      </c>
      <c r="V90" s="14">
        <f t="shared" si="25"/>
        <v>0</v>
      </c>
      <c r="W90" s="14">
        <f t="shared" si="26"/>
        <v>0</v>
      </c>
      <c r="X90" s="14">
        <f t="shared" si="36"/>
        <v>0</v>
      </c>
    </row>
    <row r="91" spans="1:24">
      <c r="A91" t="s">
        <v>145</v>
      </c>
      <c r="B91" s="13" t="str">
        <f>VLOOKUP(A91,თვითღირებულება!A:AC,2,0)</f>
        <v>სითხეგაუმტარი ევრო ყუთი წითელი- L</v>
      </c>
      <c r="C91" s="14">
        <f>VLOOKUP(A91,თვითღირებულება!A:AC,6,0)</f>
        <v>3</v>
      </c>
      <c r="D91" s="14">
        <f>VLOOKUP(A91,თვითღირებულება!A:AC,15,0)</f>
        <v>0.94</v>
      </c>
      <c r="E91" s="14">
        <f>VLOOKUP(A91,თვითღირებულება!A:AC,12,0)</f>
        <v>3.8</v>
      </c>
      <c r="F91" s="14">
        <f>VLOOKUP(A91,თვითღირებულება!A:AC,11,0)</f>
        <v>5</v>
      </c>
      <c r="G91" s="14">
        <f t="shared" si="27"/>
        <v>19</v>
      </c>
      <c r="H91" s="14">
        <f>VLOOKUP(A91,თვითღირებულება!A:AC,9,0)</f>
        <v>2.88</v>
      </c>
      <c r="I91" s="14">
        <f>VLOOKUP(A91,თვითღირებულება!A:AC,16,0)</f>
        <v>22.82</v>
      </c>
      <c r="J91" s="14">
        <f>VLOOKUP(A91,თვითღირებულება!A:AC,17,0)</f>
        <v>19.482372881355936</v>
      </c>
      <c r="K91" s="14">
        <f>VLOOKUP(A91,[1]Sheet!$A:$G,7,0)</f>
        <v>0</v>
      </c>
      <c r="L91" s="14">
        <f>VLOOKUP(A91,[1]Sheet!$A:$J,10,0)</f>
        <v>40</v>
      </c>
      <c r="M91" s="14">
        <f t="shared" si="24"/>
        <v>33.898305084745765</v>
      </c>
      <c r="N91" s="14">
        <f t="shared" si="28"/>
        <v>0</v>
      </c>
      <c r="O91" s="14">
        <f t="shared" si="29"/>
        <v>0</v>
      </c>
      <c r="P91" s="14">
        <f t="shared" si="30"/>
        <v>0</v>
      </c>
      <c r="Q91" s="14">
        <f t="shared" si="31"/>
        <v>0</v>
      </c>
      <c r="R91" s="14">
        <f t="shared" si="32"/>
        <v>0</v>
      </c>
      <c r="S91" s="14">
        <f t="shared" si="33"/>
        <v>0</v>
      </c>
      <c r="T91" s="14">
        <f t="shared" si="34"/>
        <v>0</v>
      </c>
      <c r="U91" s="14">
        <f t="shared" si="35"/>
        <v>0</v>
      </c>
      <c r="V91" s="14">
        <f t="shared" si="25"/>
        <v>0</v>
      </c>
      <c r="W91" s="14">
        <f t="shared" si="26"/>
        <v>0</v>
      </c>
      <c r="X91" s="14">
        <f t="shared" si="36"/>
        <v>0</v>
      </c>
    </row>
    <row r="92" spans="1:24">
      <c r="A92" t="s">
        <v>155</v>
      </c>
      <c r="B92" s="13" t="str">
        <f>VLOOKUP(A92,თვითღირებულება!A:AC,2,0)</f>
        <v>სითხეგაუმტარი ევრო ყუთი ყვითელი- L</v>
      </c>
      <c r="C92" s="14">
        <f>VLOOKUP(A92,თვითღირებულება!A:AC,6,0)</f>
        <v>3</v>
      </c>
      <c r="D92" s="14">
        <f>VLOOKUP(A92,თვითღირებულება!A:AC,15,0)</f>
        <v>0.94</v>
      </c>
      <c r="E92" s="14">
        <f>VLOOKUP(A92,თვითღირებულება!A:AC,12,0)</f>
        <v>3.8</v>
      </c>
      <c r="F92" s="14">
        <f>VLOOKUP(A92,თვითღირებულება!A:AC,11,0)</f>
        <v>5</v>
      </c>
      <c r="G92" s="14">
        <f t="shared" si="27"/>
        <v>19</v>
      </c>
      <c r="H92" s="14">
        <f>VLOOKUP(A92,თვითღირებულება!A:AC,9,0)</f>
        <v>2.88</v>
      </c>
      <c r="I92" s="14">
        <f>VLOOKUP(A92,თვითღირებულება!A:AC,16,0)</f>
        <v>22.82</v>
      </c>
      <c r="J92" s="14">
        <f>VLOOKUP(A92,თვითღირებულება!A:AC,17,0)</f>
        <v>19.482372881355936</v>
      </c>
      <c r="K92" s="14">
        <v>1</v>
      </c>
      <c r="L92" s="14">
        <v>32</v>
      </c>
      <c r="M92" s="14">
        <f t="shared" si="24"/>
        <v>27.118644067796613</v>
      </c>
      <c r="N92" s="14">
        <f t="shared" si="28"/>
        <v>3</v>
      </c>
      <c r="O92" s="14">
        <f t="shared" si="29"/>
        <v>2.88</v>
      </c>
      <c r="P92" s="14">
        <f t="shared" si="30"/>
        <v>6.2500000000000003E-3</v>
      </c>
      <c r="Q92" s="14">
        <f t="shared" si="31"/>
        <v>0.94</v>
      </c>
      <c r="R92" s="14">
        <f t="shared" si="32"/>
        <v>3.8</v>
      </c>
      <c r="S92" s="14">
        <f t="shared" si="33"/>
        <v>19</v>
      </c>
      <c r="T92" s="14">
        <f t="shared" si="34"/>
        <v>22.82</v>
      </c>
      <c r="U92" s="14">
        <f t="shared" si="35"/>
        <v>19.482372881355936</v>
      </c>
      <c r="V92" s="14">
        <f t="shared" si="25"/>
        <v>32</v>
      </c>
      <c r="W92" s="14">
        <f t="shared" si="26"/>
        <v>27.118644067796613</v>
      </c>
      <c r="X92" s="14">
        <f t="shared" si="36"/>
        <v>7.6362711864406769</v>
      </c>
    </row>
    <row r="93" spans="1:24">
      <c r="A93" t="s">
        <v>147</v>
      </c>
      <c r="B93" s="13" t="str">
        <f>VLOOKUP(A93,თვითღირებულება!A:AC,2,0)</f>
        <v>სითხეგაუმტარი ევრო ყუთი შავი- S</v>
      </c>
      <c r="C93" s="14">
        <f>VLOOKUP(A93,თვითღირებულება!A:AC,6,0)</f>
        <v>3</v>
      </c>
      <c r="D93" s="14">
        <f>VLOOKUP(A93,თვითღირებულება!A:AC,15,0)</f>
        <v>0.94</v>
      </c>
      <c r="E93" s="14">
        <f>VLOOKUP(A93,თვითღირებულება!A:AC,12,0)</f>
        <v>2.52</v>
      </c>
      <c r="F93" s="14">
        <f>VLOOKUP(A93,თვითღირებულება!A:AC,11,0)</f>
        <v>6.65</v>
      </c>
      <c r="G93" s="14">
        <f t="shared" si="27"/>
        <v>16.758000000000003</v>
      </c>
      <c r="H93" s="14">
        <f>VLOOKUP(A93,თვითღირებულება!A:AC,9,0)</f>
        <v>2.88</v>
      </c>
      <c r="I93" s="14">
        <f>VLOOKUP(A93,თვითღირებულება!A:AC,16,0)</f>
        <v>20.58</v>
      </c>
      <c r="J93" s="14">
        <f>VLOOKUP(A93,თვითღირებულება!A:AC,17,0)</f>
        <v>17.584067796610167</v>
      </c>
      <c r="K93" s="14">
        <f>VLOOKUP(A93,[1]Sheet!$A:$G,7,0)</f>
        <v>0</v>
      </c>
      <c r="L93" s="14">
        <f>VLOOKUP(A93,[1]Sheet!$A:$J,10,0)</f>
        <v>35</v>
      </c>
      <c r="M93" s="14">
        <f t="shared" si="24"/>
        <v>29.661016949152543</v>
      </c>
      <c r="N93" s="14">
        <f t="shared" si="28"/>
        <v>0</v>
      </c>
      <c r="O93" s="14">
        <f t="shared" si="29"/>
        <v>0</v>
      </c>
      <c r="P93" s="14">
        <f t="shared" si="30"/>
        <v>0</v>
      </c>
      <c r="Q93" s="14">
        <f t="shared" si="31"/>
        <v>0</v>
      </c>
      <c r="R93" s="14">
        <f t="shared" si="32"/>
        <v>0</v>
      </c>
      <c r="S93" s="14">
        <f t="shared" si="33"/>
        <v>0</v>
      </c>
      <c r="T93" s="14">
        <f t="shared" si="34"/>
        <v>0</v>
      </c>
      <c r="U93" s="14">
        <f t="shared" si="35"/>
        <v>0</v>
      </c>
      <c r="V93" s="14">
        <f t="shared" si="25"/>
        <v>0</v>
      </c>
      <c r="W93" s="14">
        <f t="shared" si="26"/>
        <v>0</v>
      </c>
      <c r="X93" s="14">
        <f t="shared" si="36"/>
        <v>0</v>
      </c>
    </row>
    <row r="94" spans="1:24">
      <c r="A94" t="s">
        <v>165</v>
      </c>
      <c r="B94" s="13" t="str">
        <f>VLOOKUP(A94,თვითღირებულება!A:AC,2,0)</f>
        <v>სითხეგაუმტარი ევრო ყუთი ლურჯი - S</v>
      </c>
      <c r="C94" s="14">
        <f>VLOOKUP(A94,თვითღირებულება!A:AC,6,0)</f>
        <v>3</v>
      </c>
      <c r="D94" s="14">
        <f>VLOOKUP(A94,თვითღირებულება!A:AC,15,0)</f>
        <v>0.94</v>
      </c>
      <c r="E94" s="14">
        <f>VLOOKUP(A94,თვითღირებულება!A:AC,12,0)</f>
        <v>2.52</v>
      </c>
      <c r="F94" s="14">
        <f>VLOOKUP(A94,თვითღირებულება!A:AC,11,0)</f>
        <v>6.65</v>
      </c>
      <c r="G94" s="14">
        <f t="shared" si="27"/>
        <v>16.758000000000003</v>
      </c>
      <c r="H94" s="14">
        <f>VLOOKUP(A94,თვითღირებულება!A:AC,9,0)</f>
        <v>2.88</v>
      </c>
      <c r="I94" s="14">
        <f>VLOOKUP(A94,თვითღირებულება!A:AC,16,0)</f>
        <v>20.58</v>
      </c>
      <c r="J94" s="14">
        <f>VLOOKUP(A94,თვითღირებულება!A:AC,17,0)</f>
        <v>17.584067796610167</v>
      </c>
      <c r="K94" s="14">
        <f>VLOOKUP(A94,[1]Sheet!$A:$G,7,0)</f>
        <v>0</v>
      </c>
      <c r="L94" s="14">
        <f>VLOOKUP(A94,[1]Sheet!$A:$J,10,0)</f>
        <v>35</v>
      </c>
      <c r="M94" s="14">
        <f t="shared" si="24"/>
        <v>29.661016949152543</v>
      </c>
      <c r="N94" s="14">
        <f t="shared" si="28"/>
        <v>0</v>
      </c>
      <c r="O94" s="14">
        <f t="shared" si="29"/>
        <v>0</v>
      </c>
      <c r="P94" s="14">
        <f t="shared" si="30"/>
        <v>0</v>
      </c>
      <c r="Q94" s="14">
        <f t="shared" si="31"/>
        <v>0</v>
      </c>
      <c r="R94" s="14">
        <f t="shared" si="32"/>
        <v>0</v>
      </c>
      <c r="S94" s="14">
        <f t="shared" si="33"/>
        <v>0</v>
      </c>
      <c r="T94" s="14">
        <f t="shared" si="34"/>
        <v>0</v>
      </c>
      <c r="U94" s="14">
        <f t="shared" si="35"/>
        <v>0</v>
      </c>
      <c r="V94" s="14">
        <f t="shared" si="25"/>
        <v>0</v>
      </c>
      <c r="W94" s="14">
        <f t="shared" si="26"/>
        <v>0</v>
      </c>
      <c r="X94" s="14">
        <f t="shared" si="36"/>
        <v>0</v>
      </c>
    </row>
    <row r="95" spans="1:24">
      <c r="A95" t="s">
        <v>159</v>
      </c>
      <c r="B95" s="13" t="str">
        <f>VLOOKUP(A95,თვითღირებულება!A:AC,2,0)</f>
        <v>სითხეგაუმტარი ევრო ყუთი მწვანე - S</v>
      </c>
      <c r="C95" s="14">
        <f>VLOOKUP(A95,თვითღირებულება!A:AC,6,0)</f>
        <v>3</v>
      </c>
      <c r="D95" s="14">
        <f>VLOOKUP(A95,თვითღირებულება!A:AC,15,0)</f>
        <v>0.94</v>
      </c>
      <c r="E95" s="14">
        <f>VLOOKUP(A95,თვითღირებულება!A:AC,12,0)</f>
        <v>2.52</v>
      </c>
      <c r="F95" s="14">
        <f>VLOOKUP(A95,თვითღირებულება!A:AC,11,0)</f>
        <v>5</v>
      </c>
      <c r="G95" s="14">
        <f t="shared" si="27"/>
        <v>12.6</v>
      </c>
      <c r="H95" s="14">
        <f>VLOOKUP(A95,თვითღირებულება!A:AC,9,0)</f>
        <v>2.88</v>
      </c>
      <c r="I95" s="14">
        <f>VLOOKUP(A95,თვითღირებულება!A:AC,16,0)</f>
        <v>16.420000000000002</v>
      </c>
      <c r="J95" s="14">
        <f>VLOOKUP(A95,თვითღირებულება!A:AC,17,0)</f>
        <v>14.058644067796612</v>
      </c>
      <c r="K95" s="14">
        <f>VLOOKUP(A95,[1]Sheet!$A:$G,7,0)</f>
        <v>0</v>
      </c>
      <c r="L95" s="14">
        <f>VLOOKUP(A95,[1]Sheet!$A:$J,10,0)</f>
        <v>35</v>
      </c>
      <c r="M95" s="14">
        <f t="shared" si="24"/>
        <v>29.661016949152543</v>
      </c>
      <c r="N95" s="14">
        <f t="shared" si="28"/>
        <v>0</v>
      </c>
      <c r="O95" s="14">
        <f t="shared" si="29"/>
        <v>0</v>
      </c>
      <c r="P95" s="14">
        <f t="shared" si="30"/>
        <v>0</v>
      </c>
      <c r="Q95" s="14">
        <f t="shared" si="31"/>
        <v>0</v>
      </c>
      <c r="R95" s="14">
        <f t="shared" si="32"/>
        <v>0</v>
      </c>
      <c r="S95" s="14">
        <f t="shared" si="33"/>
        <v>0</v>
      </c>
      <c r="T95" s="14">
        <f t="shared" si="34"/>
        <v>0</v>
      </c>
      <c r="U95" s="14">
        <f t="shared" si="35"/>
        <v>0</v>
      </c>
      <c r="V95" s="14">
        <f t="shared" si="25"/>
        <v>0</v>
      </c>
      <c r="W95" s="14">
        <f t="shared" si="26"/>
        <v>0</v>
      </c>
      <c r="X95" s="14">
        <f t="shared" si="36"/>
        <v>0</v>
      </c>
    </row>
    <row r="96" spans="1:24">
      <c r="A96" t="s">
        <v>141</v>
      </c>
      <c r="B96" s="13" t="str">
        <f>VLOOKUP(A96,თვითღირებულება!A:AC,2,0)</f>
        <v>სითხეგაუმტარი ევრო ყუთი წითელი - S</v>
      </c>
      <c r="C96" s="14">
        <f>VLOOKUP(A96,თვითღირებულება!A:AC,6,0)</f>
        <v>3</v>
      </c>
      <c r="D96" s="14">
        <f>VLOOKUP(A96,თვითღირებულება!A:AC,15,0)</f>
        <v>0.94</v>
      </c>
      <c r="E96" s="14">
        <f>VLOOKUP(A96,თვითღირებულება!A:AC,12,0)</f>
        <v>2.52</v>
      </c>
      <c r="F96" s="14">
        <f>VLOOKUP(A96,თვითღირებულება!A:AC,11,0)</f>
        <v>5</v>
      </c>
      <c r="G96" s="14">
        <f t="shared" si="27"/>
        <v>12.6</v>
      </c>
      <c r="H96" s="14">
        <f>VLOOKUP(A96,თვითღირებულება!A:AC,9,0)</f>
        <v>2.88</v>
      </c>
      <c r="I96" s="14">
        <f>VLOOKUP(A96,თვითღირებულება!A:AC,16,0)</f>
        <v>16.420000000000002</v>
      </c>
      <c r="J96" s="14">
        <f>VLOOKUP(A96,თვითღირებულება!A:AC,17,0)</f>
        <v>14.058644067796612</v>
      </c>
      <c r="K96" s="14">
        <f>VLOOKUP(A96,[1]Sheet!$A:$G,7,0)</f>
        <v>0</v>
      </c>
      <c r="L96" s="14">
        <f>VLOOKUP(A96,[1]Sheet!$A:$J,10,0)</f>
        <v>35</v>
      </c>
      <c r="M96" s="14">
        <f t="shared" si="24"/>
        <v>29.661016949152543</v>
      </c>
      <c r="N96" s="14">
        <f t="shared" si="28"/>
        <v>0</v>
      </c>
      <c r="O96" s="14">
        <f t="shared" si="29"/>
        <v>0</v>
      </c>
      <c r="P96" s="14">
        <f t="shared" si="30"/>
        <v>0</v>
      </c>
      <c r="Q96" s="14">
        <f t="shared" si="31"/>
        <v>0</v>
      </c>
      <c r="R96" s="14">
        <f t="shared" si="32"/>
        <v>0</v>
      </c>
      <c r="S96" s="14">
        <f t="shared" si="33"/>
        <v>0</v>
      </c>
      <c r="T96" s="14">
        <f t="shared" si="34"/>
        <v>0</v>
      </c>
      <c r="U96" s="14">
        <f t="shared" si="35"/>
        <v>0</v>
      </c>
      <c r="V96" s="14">
        <f t="shared" si="25"/>
        <v>0</v>
      </c>
      <c r="W96" s="14">
        <f t="shared" si="26"/>
        <v>0</v>
      </c>
      <c r="X96" s="14">
        <f t="shared" si="36"/>
        <v>0</v>
      </c>
    </row>
    <row r="97" spans="1:26">
      <c r="A97" t="s">
        <v>209</v>
      </c>
      <c r="B97" s="13" t="str">
        <f>VLOOKUP(A97,თვითღირებულება!A:AC,2,0)</f>
        <v>ბოთლების ჩასადები ყუთი ბუდეებით შავი</v>
      </c>
      <c r="C97" s="14">
        <f>VLOOKUP(A97,თვითღირებულება!A:AC,6,0)</f>
        <v>1.7</v>
      </c>
      <c r="D97" s="14">
        <f>VLOOKUP(A97,თვითღირებულება!A:AC,15,0)</f>
        <v>0.53</v>
      </c>
      <c r="E97" s="14">
        <f>VLOOKUP(A97,თვითღირებულება!A:AC,12,0)</f>
        <v>1.72</v>
      </c>
      <c r="F97" s="14">
        <f>VLOOKUP(A97,თვითღირებულება!A:AC,11,0)</f>
        <v>3.5</v>
      </c>
      <c r="G97" s="14">
        <f t="shared" si="27"/>
        <v>6.02</v>
      </c>
      <c r="H97" s="14">
        <f>VLOOKUP(A97,თვითღირებულება!A:AC,9,0)</f>
        <v>1.63</v>
      </c>
      <c r="I97" s="14">
        <f>VLOOKUP(A97,თვითღირებულება!A:AC,16,0)</f>
        <v>8.18</v>
      </c>
      <c r="J97" s="14">
        <f>VLOOKUP(A97,თვითღირებულება!A:AC,17,0)</f>
        <v>7.0130508474576274</v>
      </c>
      <c r="K97" s="14">
        <f>VLOOKUP(A97,[1]Sheet!$A:$G,7,0)</f>
        <v>0</v>
      </c>
      <c r="L97" s="14">
        <f>VLOOKUP(A97,[1]Sheet!$A:$J,10,0)</f>
        <v>15</v>
      </c>
      <c r="M97" s="14">
        <f t="shared" si="24"/>
        <v>12.711864406779661</v>
      </c>
      <c r="N97" s="14">
        <f t="shared" si="28"/>
        <v>0</v>
      </c>
      <c r="O97" s="14">
        <f t="shared" si="29"/>
        <v>0</v>
      </c>
      <c r="P97" s="14">
        <f t="shared" si="30"/>
        <v>0</v>
      </c>
      <c r="Q97" s="14">
        <f t="shared" si="31"/>
        <v>0</v>
      </c>
      <c r="R97" s="14">
        <f t="shared" si="32"/>
        <v>0</v>
      </c>
      <c r="S97" s="14">
        <f t="shared" si="33"/>
        <v>0</v>
      </c>
      <c r="T97" s="14">
        <f t="shared" si="34"/>
        <v>0</v>
      </c>
      <c r="U97" s="14">
        <f t="shared" si="35"/>
        <v>0</v>
      </c>
      <c r="V97" s="14">
        <f t="shared" si="25"/>
        <v>0</v>
      </c>
      <c r="W97" s="14">
        <f t="shared" si="26"/>
        <v>0</v>
      </c>
      <c r="X97" s="14">
        <f t="shared" si="36"/>
        <v>0</v>
      </c>
    </row>
    <row r="98" spans="1:26">
      <c r="A98" t="s">
        <v>137</v>
      </c>
      <c r="B98" s="13" t="str">
        <f>VLOOKUP(A98,თვითღირებულება!A:AC,2,0)</f>
        <v>ქილების სეპარატორი შავი</v>
      </c>
      <c r="C98" s="14">
        <f>VLOOKUP(A98,თვითღირებულება!A:AC,6,0)</f>
        <v>1.7</v>
      </c>
      <c r="D98" s="14">
        <f>VLOOKUP(A98,თვითღირებულება!A:AC,15,0)</f>
        <v>0.53</v>
      </c>
      <c r="E98" s="14">
        <f>VLOOKUP(A98,თვითღირებულება!A:AC,12,0)</f>
        <v>0.63</v>
      </c>
      <c r="F98" s="14">
        <f>VLOOKUP(A98,თვითღირებულება!A:AC,11,0)</f>
        <v>3.5</v>
      </c>
      <c r="G98" s="14">
        <f t="shared" si="27"/>
        <v>2.2050000000000001</v>
      </c>
      <c r="H98" s="14">
        <f>VLOOKUP(A98,თვითღირებულება!A:AC,9,0)</f>
        <v>1.0900000000000001</v>
      </c>
      <c r="I98" s="14">
        <f>VLOOKUP(A98,თვითღირებულება!A:AC,16,0)</f>
        <v>3.83</v>
      </c>
      <c r="J98" s="14">
        <f>VLOOKUP(A98,თვითღირებულება!A:AC,17,0)</f>
        <v>3.3266101694915253</v>
      </c>
      <c r="K98" s="14">
        <f>VLOOKUP(A98,[1]Sheet!$A:$G,7,0)</f>
        <v>1</v>
      </c>
      <c r="L98" s="14">
        <f>VLOOKUP(A98,[1]Sheet!$A:$J,10,0)</f>
        <v>10</v>
      </c>
      <c r="M98" s="14">
        <f t="shared" si="24"/>
        <v>8.4745762711864412</v>
      </c>
      <c r="N98" s="14">
        <f t="shared" si="28"/>
        <v>1.7</v>
      </c>
      <c r="O98" s="14">
        <f t="shared" si="29"/>
        <v>1.0900000000000001</v>
      </c>
      <c r="P98" s="14">
        <f t="shared" si="30"/>
        <v>3.5416666666666665E-3</v>
      </c>
      <c r="Q98" s="14">
        <f t="shared" si="31"/>
        <v>0.53</v>
      </c>
      <c r="R98" s="14">
        <f t="shared" si="32"/>
        <v>0.63</v>
      </c>
      <c r="S98" s="14">
        <f t="shared" si="33"/>
        <v>2.2050000000000001</v>
      </c>
      <c r="T98" s="14">
        <f t="shared" si="34"/>
        <v>3.83</v>
      </c>
      <c r="U98" s="14">
        <f t="shared" si="35"/>
        <v>3.3266101694915253</v>
      </c>
      <c r="V98" s="14">
        <f t="shared" si="25"/>
        <v>10</v>
      </c>
      <c r="W98" s="14">
        <f t="shared" si="26"/>
        <v>8.4745762711864412</v>
      </c>
      <c r="X98" s="14">
        <f>W98-U98</f>
        <v>5.1479661016949159</v>
      </c>
    </row>
    <row r="99" spans="1:26">
      <c r="A99" t="s">
        <v>139</v>
      </c>
      <c r="B99" s="13" t="str">
        <f>VLOOKUP(A99,თვითღირებულება!A:AC,2,0)</f>
        <v>ქილების სეპარატორი ლურჯი</v>
      </c>
      <c r="C99" s="14">
        <f>VLOOKUP(A99,თვითღირებულება!A:AC,6,0)</f>
        <v>1.7</v>
      </c>
      <c r="D99" s="14">
        <f>VLOOKUP(A99,თვითღირებულება!A:AC,15,0)</f>
        <v>0.53</v>
      </c>
      <c r="E99" s="14">
        <f>VLOOKUP(A99,თვითღირებულება!A:AC,12,0)</f>
        <v>0.63</v>
      </c>
      <c r="F99" s="14">
        <f>VLOOKUP(A99,თვითღირებულება!A:AC,11,0)</f>
        <v>3.5</v>
      </c>
      <c r="G99" s="14">
        <f t="shared" si="27"/>
        <v>2.2050000000000001</v>
      </c>
      <c r="H99" s="14">
        <f>VLOOKUP(A99,თვითღირებულება!A:AC,9,0)</f>
        <v>1.0900000000000001</v>
      </c>
      <c r="I99" s="14">
        <f>VLOOKUP(A99,თვითღირებულება!A:AC,16,0)</f>
        <v>3.83</v>
      </c>
      <c r="J99" s="14">
        <f>VLOOKUP(A99,თვითღირებულება!A:AC,17,0)</f>
        <v>3.3266101694915253</v>
      </c>
      <c r="K99" s="14">
        <f>VLOOKUP(A99,[1]Sheet!$A:$G,7,0)</f>
        <v>0</v>
      </c>
      <c r="L99" s="14">
        <f>VLOOKUP(A99,[1]Sheet!$A:$J,10,0)</f>
        <v>10</v>
      </c>
      <c r="M99" s="14">
        <f t="shared" si="24"/>
        <v>8.4745762711864412</v>
      </c>
      <c r="N99" s="14">
        <f t="shared" si="28"/>
        <v>0</v>
      </c>
      <c r="O99" s="14">
        <f t="shared" si="29"/>
        <v>0</v>
      </c>
      <c r="P99" s="14">
        <f t="shared" si="30"/>
        <v>0</v>
      </c>
      <c r="Q99" s="14">
        <f t="shared" si="31"/>
        <v>0</v>
      </c>
      <c r="R99" s="14">
        <f t="shared" si="32"/>
        <v>0</v>
      </c>
      <c r="S99" s="14">
        <f t="shared" si="33"/>
        <v>0</v>
      </c>
      <c r="T99" s="14">
        <f t="shared" si="34"/>
        <v>0</v>
      </c>
      <c r="U99" s="14">
        <f t="shared" si="35"/>
        <v>0</v>
      </c>
      <c r="V99" s="14">
        <f t="shared" si="25"/>
        <v>0</v>
      </c>
      <c r="W99" s="14">
        <f t="shared" si="26"/>
        <v>0</v>
      </c>
      <c r="X99" s="14">
        <f t="shared" si="36"/>
        <v>0</v>
      </c>
    </row>
    <row r="100" spans="1:26">
      <c r="A100" s="5" t="s">
        <v>135</v>
      </c>
      <c r="B100" s="13" t="str">
        <f>VLOOKUP(A100,თვითღირებულება!A:AC,2,0)</f>
        <v>ხილ-ბოსტნეულის ბადისებრი ყუთი შავი</v>
      </c>
      <c r="C100" s="14">
        <f>VLOOKUP(A100,თვითღირებულება!A:AC,6,0)</f>
        <v>0.75</v>
      </c>
      <c r="D100" s="14">
        <f>VLOOKUP(A100,თვითღირებულება!A:AC,15,0)</f>
        <v>0.23</v>
      </c>
      <c r="E100" s="14">
        <f>VLOOKUP(A100,თვითღირებულება!A:AC,12,0)</f>
        <v>0.5</v>
      </c>
      <c r="F100" s="14">
        <f>VLOOKUP(A100,თვითღირებულება!A:AC,11,0)</f>
        <v>3.5</v>
      </c>
      <c r="G100" s="14">
        <f t="shared" si="27"/>
        <v>1.75</v>
      </c>
      <c r="H100" s="14">
        <f>VLOOKUP(A100,თვითღირებულება!A:AC,9,0)</f>
        <v>0.72</v>
      </c>
      <c r="I100" s="14">
        <f>VLOOKUP(A100,თვითღირებულება!A:AC,16,0)</f>
        <v>2.7</v>
      </c>
      <c r="J100" s="14">
        <f>VLOOKUP(A100,თვითღირებულება!A:AC,17,0)</f>
        <v>2.323220338983051</v>
      </c>
      <c r="K100" s="14">
        <f>VLOOKUP(A100,[1]Sheet!$A:$G,7,0)</f>
        <v>0</v>
      </c>
      <c r="L100" s="14">
        <f>VLOOKUP(A100,[1]Sheet!$A:$J,10,0)</f>
        <v>2.5</v>
      </c>
      <c r="M100" s="14">
        <f t="shared" si="24"/>
        <v>2.1186440677966103</v>
      </c>
      <c r="N100" s="14">
        <f t="shared" si="28"/>
        <v>0</v>
      </c>
      <c r="O100" s="14">
        <f t="shared" si="29"/>
        <v>0</v>
      </c>
      <c r="P100" s="14">
        <f t="shared" si="30"/>
        <v>0</v>
      </c>
      <c r="Q100" s="14">
        <f t="shared" si="31"/>
        <v>0</v>
      </c>
      <c r="R100" s="14">
        <f t="shared" si="32"/>
        <v>0</v>
      </c>
      <c r="S100" s="14">
        <f t="shared" si="33"/>
        <v>0</v>
      </c>
      <c r="T100" s="14">
        <f t="shared" si="34"/>
        <v>0</v>
      </c>
      <c r="U100" s="14">
        <f t="shared" si="35"/>
        <v>0</v>
      </c>
      <c r="V100" s="14">
        <f t="shared" si="25"/>
        <v>0</v>
      </c>
      <c r="W100" s="14">
        <f t="shared" si="26"/>
        <v>0</v>
      </c>
      <c r="X100" s="14">
        <f t="shared" si="36"/>
        <v>0</v>
      </c>
    </row>
    <row r="101" spans="1:26">
      <c r="A101" s="5" t="s">
        <v>203</v>
      </c>
      <c r="B101" s="13" t="str">
        <f>VLOOKUP(A101,თვითღირებულება!A:AC,2,0)</f>
        <v>ხილ-ბოსტნეულის ბადისებრი ყუთი ლურჯი</v>
      </c>
      <c r="C101" s="14">
        <f>VLOOKUP(A101,თვითღირებულება!A:AC,6,0)</f>
        <v>0.75</v>
      </c>
      <c r="D101" s="14">
        <f>VLOOKUP(A101,თვითღირებულება!A:AC,15,0)</f>
        <v>0.23</v>
      </c>
      <c r="E101" s="14">
        <f>VLOOKUP(A101,თვითღირებულება!A:AC,12,0)</f>
        <v>0.5</v>
      </c>
      <c r="F101" s="14">
        <f>VLOOKUP(A101,თვითღირებულება!A:AC,11,0)</f>
        <v>3.5</v>
      </c>
      <c r="G101" s="14">
        <f t="shared" si="27"/>
        <v>1.75</v>
      </c>
      <c r="H101" s="14">
        <f>VLOOKUP(A101,თვითღირებულება!A:AC,9,0)</f>
        <v>0.72</v>
      </c>
      <c r="I101" s="14">
        <f>VLOOKUP(A101,თვითღირებულება!A:AC,16,0)</f>
        <v>2.7</v>
      </c>
      <c r="J101" s="14">
        <f>VLOOKUP(A101,თვითღირებულება!A:AC,17,0)</f>
        <v>2.323220338983051</v>
      </c>
      <c r="K101" s="14">
        <f>VLOOKUP(A101,[1]Sheet!$A:$G,7,0)</f>
        <v>0</v>
      </c>
      <c r="L101" s="14">
        <f>VLOOKUP(A101,[1]Sheet!$A:$J,10,0)</f>
        <v>2.5</v>
      </c>
      <c r="M101" s="14">
        <f t="shared" si="24"/>
        <v>2.1186440677966103</v>
      </c>
      <c r="N101" s="14">
        <f t="shared" si="28"/>
        <v>0</v>
      </c>
      <c r="O101" s="14">
        <f t="shared" si="29"/>
        <v>0</v>
      </c>
      <c r="P101" s="14">
        <f t="shared" si="30"/>
        <v>0</v>
      </c>
      <c r="Q101" s="14">
        <f t="shared" si="31"/>
        <v>0</v>
      </c>
      <c r="R101" s="14">
        <f t="shared" si="32"/>
        <v>0</v>
      </c>
      <c r="S101" s="14">
        <f t="shared" si="33"/>
        <v>0</v>
      </c>
      <c r="T101" s="14">
        <f t="shared" si="34"/>
        <v>0</v>
      </c>
      <c r="U101" s="14">
        <f t="shared" si="35"/>
        <v>0</v>
      </c>
      <c r="V101" s="14">
        <f t="shared" si="25"/>
        <v>0</v>
      </c>
      <c r="W101" s="14">
        <f t="shared" si="26"/>
        <v>0</v>
      </c>
      <c r="X101" s="14">
        <f t="shared" si="36"/>
        <v>0</v>
      </c>
      <c r="Z101">
        <f>30000*Y102</f>
        <v>3453.8835447075126</v>
      </c>
    </row>
    <row r="102" spans="1:26">
      <c r="T102" s="15">
        <f>SUBTOTAL(9,T2:T101)</f>
        <v>2205.2499999999995</v>
      </c>
      <c r="U102" s="15">
        <f>SUBTOTAL(9,U2:U101)</f>
        <v>1914.7818644067793</v>
      </c>
      <c r="V102" s="14">
        <f>SUM(V2:V101)</f>
        <v>2614.65</v>
      </c>
      <c r="W102" s="15">
        <f t="shared" si="26"/>
        <v>2215.805084745763</v>
      </c>
      <c r="X102" s="4">
        <f>SUBTOTAL(9,X2:X101)</f>
        <v>301.02322033898326</v>
      </c>
      <c r="Y102" s="16">
        <f>X102/V102</f>
        <v>0.11512945149025042</v>
      </c>
    </row>
    <row r="103" spans="1:26">
      <c r="X103" s="4">
        <f>V102*4%</f>
        <v>104.58600000000001</v>
      </c>
      <c r="Y103" s="16">
        <f>X104/V102</f>
        <v>3.6883414735809097E-2</v>
      </c>
    </row>
    <row r="104" spans="1:26">
      <c r="X104" s="4">
        <f>X102-V102*4%-100</f>
        <v>96.437220338983252</v>
      </c>
    </row>
  </sheetData>
  <autoFilter ref="A1:X103" xr:uid="{00000000-0009-0000-0000-000001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თვითღირებულება!$A:$A</xm:f>
          </x14:formula1>
          <xm:sqref>A2:A101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Q107"/>
  <sheetViews>
    <sheetView view="pageLayout" zoomScaleNormal="100" workbookViewId="0">
      <selection activeCell="R4" sqref="R4"/>
    </sheetView>
  </sheetViews>
  <sheetFormatPr defaultRowHeight="15"/>
  <cols>
    <col min="1" max="1" width="8.42578125" bestFit="1" customWidth="1"/>
    <col min="2" max="2" width="26.85546875" customWidth="1"/>
    <col min="3" max="3" width="0.28515625" customWidth="1"/>
    <col min="4" max="12" width="8.5703125" hidden="1" customWidth="1"/>
    <col min="13" max="13" width="14.85546875" bestFit="1" customWidth="1"/>
    <col min="14" max="14" width="16.140625" bestFit="1" customWidth="1"/>
    <col min="16" max="16" width="8" bestFit="1" customWidth="1"/>
    <col min="17" max="17" width="8.140625" bestFit="1" customWidth="1"/>
  </cols>
  <sheetData>
    <row r="1" spans="1:17">
      <c r="A1" s="13" t="s">
        <v>263</v>
      </c>
      <c r="B1" s="13" t="s">
        <v>252</v>
      </c>
      <c r="C1" s="13" t="s">
        <v>274</v>
      </c>
      <c r="D1" s="13" t="s">
        <v>5</v>
      </c>
      <c r="E1" s="13" t="s">
        <v>5</v>
      </c>
      <c r="F1" s="13" t="s">
        <v>5</v>
      </c>
      <c r="G1" s="13" t="s">
        <v>5</v>
      </c>
      <c r="H1" s="13" t="s">
        <v>5</v>
      </c>
      <c r="I1" s="13" t="s">
        <v>5</v>
      </c>
      <c r="J1" s="13" t="s">
        <v>5</v>
      </c>
      <c r="K1" s="13" t="s">
        <v>5</v>
      </c>
      <c r="L1" s="13" t="s">
        <v>5</v>
      </c>
      <c r="M1" s="13" t="s">
        <v>275</v>
      </c>
      <c r="N1" s="13" t="s">
        <v>276</v>
      </c>
    </row>
    <row r="2" spans="1:17">
      <c r="A2" s="13" t="s">
        <v>126</v>
      </c>
      <c r="B2" s="13" t="s">
        <v>127</v>
      </c>
      <c r="C2" s="14">
        <v>6.5</v>
      </c>
      <c r="D2" s="13">
        <v>10</v>
      </c>
      <c r="E2" s="13">
        <v>2</v>
      </c>
      <c r="F2" s="13">
        <v>2</v>
      </c>
      <c r="G2" s="13"/>
      <c r="H2" s="13"/>
      <c r="I2" s="13"/>
      <c r="J2" s="13"/>
      <c r="K2" s="13"/>
      <c r="L2" s="13"/>
      <c r="M2" s="13">
        <f>SUM(D2:L2)</f>
        <v>14</v>
      </c>
      <c r="N2" s="13">
        <f>M2*C2</f>
        <v>91</v>
      </c>
      <c r="P2" s="18">
        <f>SUM(N2:N107)</f>
        <v>1313.5500000000002</v>
      </c>
    </row>
    <row r="3" spans="1:17">
      <c r="A3" s="13" t="s">
        <v>116</v>
      </c>
      <c r="B3" s="13" t="s">
        <v>117</v>
      </c>
      <c r="C3" s="14">
        <v>5.95</v>
      </c>
      <c r="D3" s="13">
        <v>10</v>
      </c>
      <c r="E3" s="13">
        <v>5</v>
      </c>
      <c r="F3" s="13">
        <v>4</v>
      </c>
      <c r="G3" s="13">
        <v>10</v>
      </c>
      <c r="H3" s="13"/>
      <c r="I3" s="13"/>
      <c r="J3" s="13"/>
      <c r="K3" s="13"/>
      <c r="L3" s="13"/>
      <c r="M3" s="13">
        <f t="shared" ref="M3:M66" si="0">SUM(D3:L3)</f>
        <v>29</v>
      </c>
      <c r="N3" s="13">
        <f t="shared" ref="N3:N66" si="1">M3*C3</f>
        <v>172.55</v>
      </c>
      <c r="P3">
        <v>70</v>
      </c>
      <c r="Q3" t="s">
        <v>278</v>
      </c>
    </row>
    <row r="4" spans="1:17">
      <c r="A4" s="13" t="s">
        <v>98</v>
      </c>
      <c r="B4" s="13" t="s">
        <v>99</v>
      </c>
      <c r="C4" s="14">
        <v>5.45</v>
      </c>
      <c r="D4" s="13">
        <v>10</v>
      </c>
      <c r="E4" s="13">
        <v>5</v>
      </c>
      <c r="F4" s="13">
        <v>2</v>
      </c>
      <c r="G4" s="13"/>
      <c r="H4" s="13"/>
      <c r="I4" s="13"/>
      <c r="J4" s="13"/>
      <c r="K4" s="13"/>
      <c r="L4" s="13"/>
      <c r="M4" s="13">
        <f t="shared" si="0"/>
        <v>17</v>
      </c>
      <c r="N4" s="13">
        <f t="shared" si="1"/>
        <v>92.65</v>
      </c>
      <c r="P4">
        <v>10</v>
      </c>
      <c r="Q4" t="s">
        <v>279</v>
      </c>
    </row>
    <row r="5" spans="1:17">
      <c r="A5" s="13" t="s">
        <v>92</v>
      </c>
      <c r="B5" s="13" t="s">
        <v>93</v>
      </c>
      <c r="C5" s="14">
        <v>3.5</v>
      </c>
      <c r="D5" s="13">
        <v>10</v>
      </c>
      <c r="E5" s="13">
        <v>3</v>
      </c>
      <c r="F5" s="13">
        <v>2</v>
      </c>
      <c r="G5" s="13">
        <v>4</v>
      </c>
      <c r="H5" s="13">
        <v>3</v>
      </c>
      <c r="I5" s="13">
        <v>1</v>
      </c>
      <c r="J5" s="13"/>
      <c r="K5" s="13"/>
      <c r="L5" s="13"/>
      <c r="M5" s="13">
        <f t="shared" si="0"/>
        <v>23</v>
      </c>
      <c r="N5" s="13">
        <f t="shared" si="1"/>
        <v>80.5</v>
      </c>
      <c r="P5" s="23">
        <f>P2-P3-P4</f>
        <v>1233.5500000000002</v>
      </c>
    </row>
    <row r="6" spans="1:17" hidden="1">
      <c r="A6" s="13" t="s">
        <v>62</v>
      </c>
      <c r="B6" s="13" t="s">
        <v>63</v>
      </c>
      <c r="C6" s="14">
        <v>12.75</v>
      </c>
      <c r="D6" s="13"/>
      <c r="E6" s="13"/>
      <c r="F6" s="13"/>
      <c r="G6" s="13"/>
      <c r="H6" s="13"/>
      <c r="I6" s="13"/>
      <c r="J6" s="13"/>
      <c r="K6" s="13"/>
      <c r="L6" s="13"/>
      <c r="M6" s="13">
        <f t="shared" si="0"/>
        <v>0</v>
      </c>
      <c r="N6" s="13">
        <f t="shared" si="1"/>
        <v>0</v>
      </c>
    </row>
    <row r="7" spans="1:17" hidden="1">
      <c r="A7" s="13" t="s">
        <v>60</v>
      </c>
      <c r="B7" s="13" t="s">
        <v>61</v>
      </c>
      <c r="C7" s="14">
        <v>8.5</v>
      </c>
      <c r="D7" s="13"/>
      <c r="E7" s="13"/>
      <c r="F7" s="13"/>
      <c r="G7" s="13"/>
      <c r="H7" s="13"/>
      <c r="I7" s="13"/>
      <c r="J7" s="13"/>
      <c r="K7" s="13"/>
      <c r="L7" s="13"/>
      <c r="M7" s="13">
        <f t="shared" si="0"/>
        <v>0</v>
      </c>
      <c r="N7" s="13">
        <f t="shared" si="1"/>
        <v>0</v>
      </c>
    </row>
    <row r="8" spans="1:17" hidden="1">
      <c r="A8" s="13" t="s">
        <v>58</v>
      </c>
      <c r="B8" s="13" t="s">
        <v>59</v>
      </c>
      <c r="C8" s="14">
        <v>4.6500000000000004</v>
      </c>
      <c r="D8" s="13"/>
      <c r="E8" s="13"/>
      <c r="F8" s="13"/>
      <c r="G8" s="13"/>
      <c r="H8" s="13"/>
      <c r="I8" s="13"/>
      <c r="J8" s="13"/>
      <c r="K8" s="13"/>
      <c r="L8" s="13"/>
      <c r="M8" s="13">
        <f t="shared" si="0"/>
        <v>0</v>
      </c>
      <c r="N8" s="13">
        <f t="shared" si="1"/>
        <v>0</v>
      </c>
    </row>
    <row r="9" spans="1:17" hidden="1">
      <c r="A9" s="13" t="s">
        <v>56</v>
      </c>
      <c r="B9" s="13" t="s">
        <v>57</v>
      </c>
      <c r="C9" s="14">
        <v>4.6500000000000004</v>
      </c>
      <c r="D9" s="13"/>
      <c r="E9" s="13"/>
      <c r="F9" s="13"/>
      <c r="G9" s="13"/>
      <c r="H9" s="13"/>
      <c r="I9" s="13"/>
      <c r="J9" s="13"/>
      <c r="K9" s="13"/>
      <c r="L9" s="13"/>
      <c r="M9" s="13">
        <f t="shared" si="0"/>
        <v>0</v>
      </c>
      <c r="N9" s="13">
        <f t="shared" si="1"/>
        <v>0</v>
      </c>
    </row>
    <row r="10" spans="1:17" hidden="1">
      <c r="A10" s="13" t="s">
        <v>54</v>
      </c>
      <c r="B10" s="13" t="s">
        <v>55</v>
      </c>
      <c r="C10" s="14">
        <v>4.6500000000000004</v>
      </c>
      <c r="D10" s="13"/>
      <c r="E10" s="13"/>
      <c r="F10" s="13"/>
      <c r="G10" s="13"/>
      <c r="H10" s="13"/>
      <c r="I10" s="13"/>
      <c r="J10" s="13"/>
      <c r="K10" s="13"/>
      <c r="L10" s="13"/>
      <c r="M10" s="13">
        <f t="shared" si="0"/>
        <v>0</v>
      </c>
      <c r="N10" s="13">
        <f t="shared" si="1"/>
        <v>0</v>
      </c>
    </row>
    <row r="11" spans="1:17" hidden="1">
      <c r="A11" s="13" t="s">
        <v>50</v>
      </c>
      <c r="B11" s="13" t="s">
        <v>51</v>
      </c>
      <c r="C11" s="14">
        <v>3.85</v>
      </c>
      <c r="D11" s="13"/>
      <c r="E11" s="13"/>
      <c r="F11" s="13"/>
      <c r="G11" s="13"/>
      <c r="H11" s="13"/>
      <c r="I11" s="13"/>
      <c r="J11" s="13"/>
      <c r="K11" s="13"/>
      <c r="L11" s="13"/>
      <c r="M11" s="13">
        <f t="shared" si="0"/>
        <v>0</v>
      </c>
      <c r="N11" s="13">
        <f t="shared" si="1"/>
        <v>0</v>
      </c>
    </row>
    <row r="12" spans="1:17" hidden="1">
      <c r="A12" s="13" t="s">
        <v>40</v>
      </c>
      <c r="B12" s="13" t="s">
        <v>41</v>
      </c>
      <c r="C12" s="14">
        <v>3</v>
      </c>
      <c r="D12" s="13"/>
      <c r="E12" s="13"/>
      <c r="F12" s="13"/>
      <c r="G12" s="13"/>
      <c r="H12" s="13"/>
      <c r="I12" s="13"/>
      <c r="J12" s="13"/>
      <c r="K12" s="13"/>
      <c r="L12" s="13"/>
      <c r="M12" s="13">
        <f t="shared" si="0"/>
        <v>0</v>
      </c>
      <c r="N12" s="13">
        <f t="shared" si="1"/>
        <v>0</v>
      </c>
    </row>
    <row r="13" spans="1:17">
      <c r="A13" s="13" t="s">
        <v>38</v>
      </c>
      <c r="B13" s="13" t="s">
        <v>39</v>
      </c>
      <c r="C13" s="14">
        <v>3</v>
      </c>
      <c r="D13" s="13">
        <v>5</v>
      </c>
      <c r="E13" s="13">
        <v>2</v>
      </c>
      <c r="F13" s="13">
        <v>2</v>
      </c>
      <c r="G13" s="13">
        <v>6</v>
      </c>
      <c r="H13" s="13"/>
      <c r="I13" s="13"/>
      <c r="J13" s="13"/>
      <c r="K13" s="13"/>
      <c r="L13" s="13"/>
      <c r="M13" s="13">
        <f t="shared" si="0"/>
        <v>15</v>
      </c>
      <c r="N13" s="13">
        <f t="shared" si="1"/>
        <v>45</v>
      </c>
    </row>
    <row r="14" spans="1:17" hidden="1">
      <c r="A14" s="13" t="s">
        <v>42</v>
      </c>
      <c r="B14" s="13" t="s">
        <v>43</v>
      </c>
      <c r="C14" s="14">
        <v>3</v>
      </c>
      <c r="D14" s="13"/>
      <c r="E14" s="13"/>
      <c r="F14" s="13"/>
      <c r="G14" s="13"/>
      <c r="H14" s="13"/>
      <c r="I14" s="13"/>
      <c r="J14" s="13"/>
      <c r="K14" s="13"/>
      <c r="L14" s="13"/>
      <c r="M14" s="13">
        <f t="shared" si="0"/>
        <v>0</v>
      </c>
      <c r="N14" s="13">
        <f t="shared" si="1"/>
        <v>0</v>
      </c>
    </row>
    <row r="15" spans="1:17" hidden="1">
      <c r="A15" s="13" t="s">
        <v>36</v>
      </c>
      <c r="B15" s="13" t="s">
        <v>37</v>
      </c>
      <c r="C15" s="14">
        <v>3</v>
      </c>
      <c r="D15" s="13"/>
      <c r="E15" s="13"/>
      <c r="F15" s="13"/>
      <c r="G15" s="13"/>
      <c r="H15" s="13"/>
      <c r="I15" s="13"/>
      <c r="J15" s="13"/>
      <c r="K15" s="13"/>
      <c r="L15" s="13"/>
      <c r="M15" s="13">
        <f t="shared" si="0"/>
        <v>0</v>
      </c>
      <c r="N15" s="13">
        <f t="shared" si="1"/>
        <v>0</v>
      </c>
    </row>
    <row r="16" spans="1:17" hidden="1">
      <c r="A16" s="13" t="s">
        <v>26</v>
      </c>
      <c r="B16" s="13" t="s">
        <v>27</v>
      </c>
      <c r="C16" s="14">
        <v>6.8</v>
      </c>
      <c r="D16" s="13"/>
      <c r="E16" s="13"/>
      <c r="F16" s="13"/>
      <c r="G16" s="13"/>
      <c r="H16" s="13"/>
      <c r="I16" s="13"/>
      <c r="J16" s="13"/>
      <c r="K16" s="13"/>
      <c r="L16" s="13"/>
      <c r="M16" s="13">
        <f t="shared" si="0"/>
        <v>0</v>
      </c>
      <c r="N16" s="13">
        <f t="shared" si="1"/>
        <v>0</v>
      </c>
    </row>
    <row r="17" spans="1:14">
      <c r="A17" s="13" t="s">
        <v>22</v>
      </c>
      <c r="B17" s="13" t="s">
        <v>23</v>
      </c>
      <c r="C17" s="14">
        <v>3.75</v>
      </c>
      <c r="D17" s="13">
        <v>6</v>
      </c>
      <c r="E17" s="13">
        <v>10</v>
      </c>
      <c r="F17" s="13">
        <v>2</v>
      </c>
      <c r="G17" s="13"/>
      <c r="H17" s="13"/>
      <c r="I17" s="13"/>
      <c r="J17" s="13"/>
      <c r="K17" s="13"/>
      <c r="L17" s="13"/>
      <c r="M17" s="13">
        <f t="shared" si="0"/>
        <v>18</v>
      </c>
      <c r="N17" s="13">
        <f t="shared" si="1"/>
        <v>67.5</v>
      </c>
    </row>
    <row r="18" spans="1:14">
      <c r="A18" s="13" t="s">
        <v>122</v>
      </c>
      <c r="B18" s="13" t="s">
        <v>123</v>
      </c>
      <c r="C18" s="14">
        <v>2.75</v>
      </c>
      <c r="D18" s="13">
        <v>5</v>
      </c>
      <c r="E18" s="13"/>
      <c r="F18" s="13"/>
      <c r="G18" s="13"/>
      <c r="H18" s="13"/>
      <c r="I18" s="13"/>
      <c r="J18" s="13"/>
      <c r="K18" s="13"/>
      <c r="L18" s="13"/>
      <c r="M18" s="13">
        <f t="shared" si="0"/>
        <v>5</v>
      </c>
      <c r="N18" s="13">
        <f t="shared" si="1"/>
        <v>13.75</v>
      </c>
    </row>
    <row r="19" spans="1:14">
      <c r="A19" s="13" t="s">
        <v>120</v>
      </c>
      <c r="B19" s="13" t="s">
        <v>121</v>
      </c>
      <c r="C19" s="14">
        <v>5.45</v>
      </c>
      <c r="D19" s="13">
        <v>5</v>
      </c>
      <c r="E19" s="13"/>
      <c r="F19" s="13"/>
      <c r="G19" s="13"/>
      <c r="H19" s="13"/>
      <c r="I19" s="13"/>
      <c r="J19" s="13"/>
      <c r="K19" s="13"/>
      <c r="L19" s="13"/>
      <c r="M19" s="13">
        <f t="shared" si="0"/>
        <v>5</v>
      </c>
      <c r="N19" s="13">
        <f t="shared" si="1"/>
        <v>27.25</v>
      </c>
    </row>
    <row r="20" spans="1:14" hidden="1">
      <c r="A20" s="13" t="s">
        <v>114</v>
      </c>
      <c r="B20" s="13" t="s">
        <v>115</v>
      </c>
      <c r="C20" s="14">
        <v>6.4</v>
      </c>
      <c r="D20" s="13"/>
      <c r="E20" s="13"/>
      <c r="F20" s="13"/>
      <c r="G20" s="13"/>
      <c r="H20" s="13"/>
      <c r="I20" s="13"/>
      <c r="J20" s="13"/>
      <c r="K20" s="13"/>
      <c r="L20" s="13"/>
      <c r="M20" s="13">
        <f t="shared" si="0"/>
        <v>0</v>
      </c>
      <c r="N20" s="13">
        <f t="shared" si="1"/>
        <v>0</v>
      </c>
    </row>
    <row r="21" spans="1:14">
      <c r="A21" s="13" t="s">
        <v>271</v>
      </c>
      <c r="B21" s="13" t="s">
        <v>134</v>
      </c>
      <c r="C21" s="14">
        <v>2.25</v>
      </c>
      <c r="D21" s="13">
        <v>1</v>
      </c>
      <c r="E21" s="13">
        <v>2</v>
      </c>
      <c r="F21" s="13">
        <v>4</v>
      </c>
      <c r="G21" s="13"/>
      <c r="H21" s="13"/>
      <c r="I21" s="13"/>
      <c r="J21" s="13"/>
      <c r="K21" s="13"/>
      <c r="L21" s="13"/>
      <c r="M21" s="13">
        <f t="shared" si="0"/>
        <v>7</v>
      </c>
      <c r="N21" s="13">
        <f t="shared" si="1"/>
        <v>15.75</v>
      </c>
    </row>
    <row r="22" spans="1:14">
      <c r="A22" s="13" t="s">
        <v>96</v>
      </c>
      <c r="B22" s="13" t="s">
        <v>97</v>
      </c>
      <c r="C22" s="14">
        <v>3</v>
      </c>
      <c r="D22" s="13">
        <v>6</v>
      </c>
      <c r="E22" s="13">
        <v>10</v>
      </c>
      <c r="F22" s="13"/>
      <c r="G22" s="13"/>
      <c r="H22" s="13"/>
      <c r="I22" s="13"/>
      <c r="J22" s="13"/>
      <c r="K22" s="13"/>
      <c r="L22" s="13"/>
      <c r="M22" s="13">
        <f t="shared" si="0"/>
        <v>16</v>
      </c>
      <c r="N22" s="13">
        <f t="shared" si="1"/>
        <v>48</v>
      </c>
    </row>
    <row r="23" spans="1:14" hidden="1">
      <c r="A23" s="13" t="s">
        <v>94</v>
      </c>
      <c r="B23" s="13" t="s">
        <v>95</v>
      </c>
      <c r="C23" s="14">
        <v>4.25</v>
      </c>
      <c r="D23" s="13"/>
      <c r="E23" s="13"/>
      <c r="F23" s="13"/>
      <c r="G23" s="13"/>
      <c r="H23" s="13"/>
      <c r="I23" s="13"/>
      <c r="J23" s="13"/>
      <c r="K23" s="13"/>
      <c r="L23" s="13"/>
      <c r="M23" s="13">
        <f t="shared" si="0"/>
        <v>0</v>
      </c>
      <c r="N23" s="13">
        <f t="shared" si="1"/>
        <v>0</v>
      </c>
    </row>
    <row r="24" spans="1:14">
      <c r="A24" s="13" t="s">
        <v>52</v>
      </c>
      <c r="B24" s="13" t="s">
        <v>53</v>
      </c>
      <c r="C24" s="14">
        <v>7.65</v>
      </c>
      <c r="D24" s="13">
        <v>10</v>
      </c>
      <c r="E24" s="13">
        <v>5</v>
      </c>
      <c r="F24" s="13">
        <v>2</v>
      </c>
      <c r="G24" s="13"/>
      <c r="H24" s="13"/>
      <c r="I24" s="13"/>
      <c r="J24" s="13"/>
      <c r="K24" s="13"/>
      <c r="L24" s="13"/>
      <c r="M24" s="13">
        <f t="shared" si="0"/>
        <v>17</v>
      </c>
      <c r="N24" s="13">
        <f t="shared" si="1"/>
        <v>130.05000000000001</v>
      </c>
    </row>
    <row r="25" spans="1:14" hidden="1">
      <c r="A25" s="13" t="s">
        <v>46</v>
      </c>
      <c r="B25" s="13" t="s">
        <v>47</v>
      </c>
      <c r="C25" s="14">
        <v>1.7</v>
      </c>
      <c r="D25" s="13"/>
      <c r="E25" s="13"/>
      <c r="F25" s="13"/>
      <c r="G25" s="13"/>
      <c r="H25" s="13"/>
      <c r="I25" s="13"/>
      <c r="J25" s="13"/>
      <c r="K25" s="13"/>
      <c r="L25" s="13"/>
      <c r="M25" s="13">
        <f t="shared" si="0"/>
        <v>0</v>
      </c>
      <c r="N25" s="13">
        <f t="shared" si="1"/>
        <v>0</v>
      </c>
    </row>
    <row r="26" spans="1:14" hidden="1">
      <c r="A26" s="13" t="s">
        <v>124</v>
      </c>
      <c r="B26" s="13" t="s">
        <v>125</v>
      </c>
      <c r="C26" s="14">
        <v>2</v>
      </c>
      <c r="D26" s="13"/>
      <c r="E26" s="13"/>
      <c r="F26" s="13"/>
      <c r="G26" s="13"/>
      <c r="H26" s="13"/>
      <c r="I26" s="13"/>
      <c r="J26" s="13"/>
      <c r="K26" s="13"/>
      <c r="L26" s="13"/>
      <c r="M26" s="13">
        <f t="shared" si="0"/>
        <v>0</v>
      </c>
      <c r="N26" s="13">
        <f t="shared" si="1"/>
        <v>0</v>
      </c>
    </row>
    <row r="27" spans="1:14">
      <c r="A27" s="13" t="s">
        <v>44</v>
      </c>
      <c r="B27" s="13" t="s">
        <v>45</v>
      </c>
      <c r="C27" s="14">
        <v>2</v>
      </c>
      <c r="D27" s="13">
        <v>15</v>
      </c>
      <c r="E27" s="13">
        <v>10</v>
      </c>
      <c r="F27" s="13">
        <v>6</v>
      </c>
      <c r="G27" s="13">
        <v>10</v>
      </c>
      <c r="H27" s="13">
        <v>15</v>
      </c>
      <c r="I27" s="13"/>
      <c r="J27" s="13"/>
      <c r="K27" s="13"/>
      <c r="L27" s="13"/>
      <c r="M27" s="13">
        <f t="shared" si="0"/>
        <v>56</v>
      </c>
      <c r="N27" s="13">
        <f t="shared" si="1"/>
        <v>112</v>
      </c>
    </row>
    <row r="28" spans="1:14" hidden="1">
      <c r="A28" s="13" t="s">
        <v>48</v>
      </c>
      <c r="B28" s="13" t="s">
        <v>49</v>
      </c>
      <c r="C28" s="14">
        <v>1.55</v>
      </c>
      <c r="D28" s="13"/>
      <c r="E28" s="13"/>
      <c r="F28" s="13"/>
      <c r="G28" s="13"/>
      <c r="H28" s="13"/>
      <c r="I28" s="13"/>
      <c r="J28" s="13"/>
      <c r="K28" s="13"/>
      <c r="L28" s="13"/>
      <c r="M28" s="13">
        <f t="shared" si="0"/>
        <v>0</v>
      </c>
      <c r="N28" s="13">
        <f t="shared" si="1"/>
        <v>0</v>
      </c>
    </row>
    <row r="29" spans="1:14">
      <c r="A29" s="13" t="s">
        <v>32</v>
      </c>
      <c r="B29" s="13" t="s">
        <v>33</v>
      </c>
      <c r="C29" s="14">
        <v>1.55</v>
      </c>
      <c r="D29" s="13">
        <v>5</v>
      </c>
      <c r="E29" s="13"/>
      <c r="F29" s="13"/>
      <c r="G29" s="13"/>
      <c r="H29" s="13"/>
      <c r="I29" s="13"/>
      <c r="J29" s="13"/>
      <c r="K29" s="13"/>
      <c r="L29" s="13"/>
      <c r="M29" s="13">
        <f t="shared" si="0"/>
        <v>5</v>
      </c>
      <c r="N29" s="13">
        <f t="shared" si="1"/>
        <v>7.75</v>
      </c>
    </row>
    <row r="30" spans="1:14" hidden="1">
      <c r="A30" s="13" t="s">
        <v>30</v>
      </c>
      <c r="B30" s="13" t="s">
        <v>31</v>
      </c>
      <c r="C30" s="14">
        <v>1.55</v>
      </c>
      <c r="D30" s="13"/>
      <c r="E30" s="13"/>
      <c r="F30" s="13"/>
      <c r="G30" s="13"/>
      <c r="H30" s="13"/>
      <c r="I30" s="13"/>
      <c r="J30" s="13"/>
      <c r="K30" s="13"/>
      <c r="L30" s="13"/>
      <c r="M30" s="13">
        <f t="shared" si="0"/>
        <v>0</v>
      </c>
      <c r="N30" s="13">
        <f t="shared" si="1"/>
        <v>0</v>
      </c>
    </row>
    <row r="31" spans="1:14" hidden="1">
      <c r="A31" s="13" t="s">
        <v>34</v>
      </c>
      <c r="B31" s="13" t="s">
        <v>35</v>
      </c>
      <c r="C31" s="14">
        <v>1.55</v>
      </c>
      <c r="D31" s="13"/>
      <c r="E31" s="13"/>
      <c r="F31" s="13"/>
      <c r="G31" s="13"/>
      <c r="H31" s="13"/>
      <c r="I31" s="13"/>
      <c r="J31" s="13"/>
      <c r="K31" s="13"/>
      <c r="L31" s="13"/>
      <c r="M31" s="13">
        <f t="shared" si="0"/>
        <v>0</v>
      </c>
      <c r="N31" s="13">
        <f t="shared" si="1"/>
        <v>0</v>
      </c>
    </row>
    <row r="32" spans="1:14">
      <c r="A32" s="13" t="s">
        <v>28</v>
      </c>
      <c r="B32" s="13" t="s">
        <v>29</v>
      </c>
      <c r="C32" s="14">
        <v>7.65</v>
      </c>
      <c r="D32" s="13">
        <v>10</v>
      </c>
      <c r="E32" s="13">
        <v>3</v>
      </c>
      <c r="F32" s="13">
        <v>10</v>
      </c>
      <c r="G32" s="13">
        <v>5</v>
      </c>
      <c r="H32" s="13">
        <v>2</v>
      </c>
      <c r="I32" s="13">
        <v>1</v>
      </c>
      <c r="J32" s="13"/>
      <c r="K32" s="13"/>
      <c r="L32" s="13"/>
      <c r="M32" s="13">
        <f t="shared" si="0"/>
        <v>31</v>
      </c>
      <c r="N32" s="13">
        <f t="shared" si="1"/>
        <v>237.15</v>
      </c>
    </row>
    <row r="33" spans="1:14" hidden="1">
      <c r="A33" s="13" t="s">
        <v>14</v>
      </c>
      <c r="B33" s="13" t="s">
        <v>15</v>
      </c>
      <c r="C33" s="14">
        <v>1.55</v>
      </c>
      <c r="D33" s="13"/>
      <c r="E33" s="13"/>
      <c r="F33" s="13"/>
      <c r="G33" s="13"/>
      <c r="H33" s="13"/>
      <c r="I33" s="13"/>
      <c r="J33" s="13"/>
      <c r="K33" s="13"/>
      <c r="L33" s="13"/>
      <c r="M33" s="13">
        <f t="shared" si="0"/>
        <v>0</v>
      </c>
      <c r="N33" s="13">
        <f t="shared" si="1"/>
        <v>0</v>
      </c>
    </row>
    <row r="34" spans="1:14" hidden="1">
      <c r="A34" s="13" t="s">
        <v>12</v>
      </c>
      <c r="B34" s="13" t="s">
        <v>13</v>
      </c>
      <c r="C34" s="14">
        <v>1.55</v>
      </c>
      <c r="D34" s="13"/>
      <c r="E34" s="13"/>
      <c r="F34" s="13"/>
      <c r="G34" s="13"/>
      <c r="H34" s="13"/>
      <c r="I34" s="13"/>
      <c r="J34" s="13"/>
      <c r="K34" s="13"/>
      <c r="L34" s="13"/>
      <c r="M34" s="13">
        <f t="shared" si="0"/>
        <v>0</v>
      </c>
      <c r="N34" s="13">
        <f t="shared" si="1"/>
        <v>0</v>
      </c>
    </row>
    <row r="35" spans="1:14" hidden="1">
      <c r="A35" s="13" t="s">
        <v>16</v>
      </c>
      <c r="B35" s="13" t="s">
        <v>17</v>
      </c>
      <c r="C35" s="14">
        <v>1.55</v>
      </c>
      <c r="D35" s="13"/>
      <c r="E35" s="13"/>
      <c r="F35" s="13"/>
      <c r="G35" s="13"/>
      <c r="H35" s="13"/>
      <c r="I35" s="13"/>
      <c r="J35" s="13"/>
      <c r="K35" s="13"/>
      <c r="L35" s="13"/>
      <c r="M35" s="13">
        <f t="shared" si="0"/>
        <v>0</v>
      </c>
      <c r="N35" s="13">
        <f t="shared" si="1"/>
        <v>0</v>
      </c>
    </row>
    <row r="36" spans="1:14" hidden="1">
      <c r="A36" s="13" t="s">
        <v>10</v>
      </c>
      <c r="B36" s="13" t="s">
        <v>11</v>
      </c>
      <c r="C36" s="14">
        <v>1.55</v>
      </c>
      <c r="D36" s="13"/>
      <c r="E36" s="13"/>
      <c r="F36" s="13"/>
      <c r="G36" s="13"/>
      <c r="H36" s="13"/>
      <c r="I36" s="13"/>
      <c r="J36" s="13"/>
      <c r="K36" s="13"/>
      <c r="L36" s="13"/>
      <c r="M36" s="13">
        <f t="shared" si="0"/>
        <v>0</v>
      </c>
      <c r="N36" s="13">
        <f t="shared" si="1"/>
        <v>0</v>
      </c>
    </row>
    <row r="37" spans="1:14" hidden="1">
      <c r="A37" s="13" t="s">
        <v>130</v>
      </c>
      <c r="B37" s="13" t="s">
        <v>131</v>
      </c>
      <c r="C37" s="14">
        <v>2.75</v>
      </c>
      <c r="D37" s="13"/>
      <c r="E37" s="13"/>
      <c r="F37" s="13"/>
      <c r="G37" s="13"/>
      <c r="H37" s="13"/>
      <c r="I37" s="13"/>
      <c r="J37" s="13"/>
      <c r="K37" s="13"/>
      <c r="L37" s="13"/>
      <c r="M37" s="13">
        <f t="shared" si="0"/>
        <v>0</v>
      </c>
      <c r="N37" s="13">
        <f t="shared" si="1"/>
        <v>0</v>
      </c>
    </row>
    <row r="38" spans="1:14" hidden="1">
      <c r="A38" s="13" t="s">
        <v>132</v>
      </c>
      <c r="B38" s="13" t="s">
        <v>133</v>
      </c>
      <c r="C38" s="14">
        <v>2.75</v>
      </c>
      <c r="D38" s="13"/>
      <c r="E38" s="13"/>
      <c r="F38" s="13"/>
      <c r="G38" s="13"/>
      <c r="H38" s="13"/>
      <c r="I38" s="13"/>
      <c r="J38" s="13"/>
      <c r="K38" s="13"/>
      <c r="L38" s="13"/>
      <c r="M38" s="13">
        <f t="shared" si="0"/>
        <v>0</v>
      </c>
      <c r="N38" s="13">
        <f t="shared" si="1"/>
        <v>0</v>
      </c>
    </row>
    <row r="39" spans="1:14" hidden="1">
      <c r="A39" s="13" t="s">
        <v>128</v>
      </c>
      <c r="B39" s="13" t="s">
        <v>129</v>
      </c>
      <c r="C39" s="14">
        <v>2.75</v>
      </c>
      <c r="D39" s="13"/>
      <c r="E39" s="13"/>
      <c r="F39" s="13"/>
      <c r="G39" s="13"/>
      <c r="H39" s="13"/>
      <c r="I39" s="13"/>
      <c r="J39" s="13"/>
      <c r="K39" s="13"/>
      <c r="L39" s="13"/>
      <c r="M39" s="13">
        <f t="shared" si="0"/>
        <v>0</v>
      </c>
      <c r="N39" s="13">
        <f t="shared" si="1"/>
        <v>0</v>
      </c>
    </row>
    <row r="40" spans="1:14" hidden="1">
      <c r="A40" s="13" t="s">
        <v>110</v>
      </c>
      <c r="B40" s="13" t="s">
        <v>111</v>
      </c>
      <c r="C40" s="14">
        <v>3</v>
      </c>
      <c r="D40" s="13"/>
      <c r="E40" s="13"/>
      <c r="F40" s="13"/>
      <c r="G40" s="13"/>
      <c r="H40" s="13"/>
      <c r="I40" s="13"/>
      <c r="J40" s="13"/>
      <c r="K40" s="13"/>
      <c r="L40" s="13"/>
      <c r="M40" s="13">
        <f t="shared" si="0"/>
        <v>0</v>
      </c>
      <c r="N40" s="13">
        <f t="shared" si="1"/>
        <v>0</v>
      </c>
    </row>
    <row r="41" spans="1:14">
      <c r="A41" s="13" t="s">
        <v>108</v>
      </c>
      <c r="B41" s="13" t="s">
        <v>109</v>
      </c>
      <c r="C41" s="14">
        <v>3</v>
      </c>
      <c r="D41" s="13">
        <v>2</v>
      </c>
      <c r="E41" s="13">
        <v>1</v>
      </c>
      <c r="F41" s="13">
        <v>1</v>
      </c>
      <c r="G41" s="13"/>
      <c r="H41" s="13"/>
      <c r="I41" s="13"/>
      <c r="J41" s="13"/>
      <c r="K41" s="13"/>
      <c r="L41" s="13"/>
      <c r="M41" s="13">
        <f t="shared" si="0"/>
        <v>4</v>
      </c>
      <c r="N41" s="13">
        <f t="shared" si="1"/>
        <v>12</v>
      </c>
    </row>
    <row r="42" spans="1:14" hidden="1">
      <c r="A42" s="13" t="s">
        <v>112</v>
      </c>
      <c r="B42" s="13" t="s">
        <v>113</v>
      </c>
      <c r="C42" s="14">
        <v>3</v>
      </c>
      <c r="D42" s="13"/>
      <c r="E42" s="13"/>
      <c r="F42" s="13"/>
      <c r="G42" s="13"/>
      <c r="H42" s="13"/>
      <c r="I42" s="13"/>
      <c r="J42" s="13"/>
      <c r="K42" s="13"/>
      <c r="L42" s="13"/>
      <c r="M42" s="13">
        <f t="shared" si="0"/>
        <v>0</v>
      </c>
      <c r="N42" s="13">
        <f t="shared" si="1"/>
        <v>0</v>
      </c>
    </row>
    <row r="43" spans="1:14">
      <c r="A43" s="13" t="s">
        <v>106</v>
      </c>
      <c r="B43" s="13" t="s">
        <v>107</v>
      </c>
      <c r="C43" s="14">
        <v>3</v>
      </c>
      <c r="D43" s="13">
        <v>3</v>
      </c>
      <c r="E43" s="13">
        <v>1</v>
      </c>
      <c r="F43" s="13"/>
      <c r="G43" s="13"/>
      <c r="H43" s="13"/>
      <c r="I43" s="13"/>
      <c r="J43" s="13"/>
      <c r="K43" s="13"/>
      <c r="L43" s="13"/>
      <c r="M43" s="13">
        <f t="shared" si="0"/>
        <v>4</v>
      </c>
      <c r="N43" s="13">
        <f t="shared" si="1"/>
        <v>12</v>
      </c>
    </row>
    <row r="44" spans="1:14" hidden="1">
      <c r="A44" s="13" t="s">
        <v>201</v>
      </c>
      <c r="B44" s="13" t="s">
        <v>202</v>
      </c>
      <c r="C44" s="14">
        <v>25</v>
      </c>
      <c r="D44" s="13"/>
      <c r="E44" s="13"/>
      <c r="F44" s="13"/>
      <c r="G44" s="13"/>
      <c r="H44" s="13"/>
      <c r="I44" s="13"/>
      <c r="J44" s="13"/>
      <c r="K44" s="13"/>
      <c r="L44" s="13"/>
      <c r="M44" s="13">
        <f t="shared" si="0"/>
        <v>0</v>
      </c>
      <c r="N44" s="13">
        <f t="shared" si="1"/>
        <v>0</v>
      </c>
    </row>
    <row r="45" spans="1:14" hidden="1">
      <c r="A45" s="13" t="s">
        <v>207</v>
      </c>
      <c r="B45" s="13" t="s">
        <v>208</v>
      </c>
      <c r="C45" s="14">
        <v>25</v>
      </c>
      <c r="D45" s="13"/>
      <c r="E45" s="13"/>
      <c r="F45" s="13"/>
      <c r="G45" s="13"/>
      <c r="H45" s="13"/>
      <c r="I45" s="13"/>
      <c r="J45" s="13"/>
      <c r="K45" s="13"/>
      <c r="L45" s="13"/>
      <c r="M45" s="13">
        <f t="shared" si="0"/>
        <v>0</v>
      </c>
      <c r="N45" s="13">
        <f t="shared" si="1"/>
        <v>0</v>
      </c>
    </row>
    <row r="46" spans="1:14" hidden="1">
      <c r="A46" s="13" t="s">
        <v>205</v>
      </c>
      <c r="B46" s="13" t="s">
        <v>206</v>
      </c>
      <c r="C46" s="14">
        <v>25</v>
      </c>
      <c r="D46" s="13"/>
      <c r="E46" s="13"/>
      <c r="F46" s="13"/>
      <c r="G46" s="13"/>
      <c r="H46" s="13"/>
      <c r="I46" s="13"/>
      <c r="J46" s="13"/>
      <c r="K46" s="13"/>
      <c r="L46" s="13"/>
      <c r="M46" s="13">
        <f t="shared" si="0"/>
        <v>0</v>
      </c>
      <c r="N46" s="13">
        <f t="shared" si="1"/>
        <v>0</v>
      </c>
    </row>
    <row r="47" spans="1:14" hidden="1">
      <c r="A47" s="13" t="s">
        <v>76</v>
      </c>
      <c r="B47" s="13" t="s">
        <v>77</v>
      </c>
      <c r="C47" s="14">
        <v>0.8</v>
      </c>
      <c r="D47" s="13"/>
      <c r="E47" s="13"/>
      <c r="F47" s="13"/>
      <c r="G47" s="13"/>
      <c r="H47" s="13"/>
      <c r="I47" s="13"/>
      <c r="J47" s="13"/>
      <c r="K47" s="13"/>
      <c r="L47" s="13"/>
      <c r="M47" s="13">
        <f t="shared" si="0"/>
        <v>0</v>
      </c>
      <c r="N47" s="13">
        <f t="shared" si="1"/>
        <v>0</v>
      </c>
    </row>
    <row r="48" spans="1:14" hidden="1">
      <c r="A48" s="13" t="s">
        <v>80</v>
      </c>
      <c r="B48" s="13" t="s">
        <v>81</v>
      </c>
      <c r="C48" s="14">
        <v>0.8</v>
      </c>
      <c r="D48" s="13"/>
      <c r="E48" s="13"/>
      <c r="F48" s="13"/>
      <c r="G48" s="13"/>
      <c r="H48" s="13"/>
      <c r="I48" s="13"/>
      <c r="J48" s="13"/>
      <c r="K48" s="13"/>
      <c r="L48" s="13"/>
      <c r="M48" s="13">
        <f t="shared" si="0"/>
        <v>0</v>
      </c>
      <c r="N48" s="13">
        <f t="shared" si="1"/>
        <v>0</v>
      </c>
    </row>
    <row r="49" spans="1:14" hidden="1">
      <c r="A49" s="13" t="s">
        <v>78</v>
      </c>
      <c r="B49" s="13" t="s">
        <v>79</v>
      </c>
      <c r="C49" s="14">
        <v>0.8</v>
      </c>
      <c r="D49" s="13"/>
      <c r="E49" s="13"/>
      <c r="F49" s="13"/>
      <c r="G49" s="13"/>
      <c r="H49" s="13"/>
      <c r="I49" s="13"/>
      <c r="J49" s="13"/>
      <c r="K49" s="13"/>
      <c r="L49" s="13"/>
      <c r="M49" s="13">
        <f t="shared" si="0"/>
        <v>0</v>
      </c>
      <c r="N49" s="13">
        <f t="shared" si="1"/>
        <v>0</v>
      </c>
    </row>
    <row r="50" spans="1:14" hidden="1">
      <c r="A50" s="13" t="s">
        <v>74</v>
      </c>
      <c r="B50" s="13" t="s">
        <v>75</v>
      </c>
      <c r="C50" s="14">
        <v>0.8</v>
      </c>
      <c r="D50" s="13"/>
      <c r="E50" s="13"/>
      <c r="F50" s="13"/>
      <c r="G50" s="13"/>
      <c r="H50" s="13"/>
      <c r="I50" s="13"/>
      <c r="J50" s="13"/>
      <c r="K50" s="13"/>
      <c r="L50" s="13"/>
      <c r="M50" s="13">
        <f t="shared" si="0"/>
        <v>0</v>
      </c>
      <c r="N50" s="13">
        <f t="shared" si="1"/>
        <v>0</v>
      </c>
    </row>
    <row r="51" spans="1:14" hidden="1">
      <c r="A51" s="13" t="s">
        <v>82</v>
      </c>
      <c r="B51" s="13" t="s">
        <v>83</v>
      </c>
      <c r="C51" s="14">
        <v>0.8</v>
      </c>
      <c r="D51" s="13"/>
      <c r="E51" s="13"/>
      <c r="F51" s="13"/>
      <c r="G51" s="13"/>
      <c r="H51" s="13"/>
      <c r="I51" s="13"/>
      <c r="J51" s="13"/>
      <c r="K51" s="13"/>
      <c r="L51" s="13"/>
      <c r="M51" s="13">
        <f t="shared" si="0"/>
        <v>0</v>
      </c>
      <c r="N51" s="13">
        <f t="shared" si="1"/>
        <v>0</v>
      </c>
    </row>
    <row r="52" spans="1:14">
      <c r="A52" s="13">
        <v>94</v>
      </c>
      <c r="B52" s="13" t="s">
        <v>277</v>
      </c>
      <c r="C52" s="14">
        <v>2.75</v>
      </c>
      <c r="D52" s="13">
        <v>5</v>
      </c>
      <c r="E52" s="13">
        <v>5</v>
      </c>
      <c r="F52" s="13">
        <v>2</v>
      </c>
      <c r="G52" s="13">
        <v>1</v>
      </c>
      <c r="H52" s="13">
        <v>5</v>
      </c>
      <c r="I52" s="13"/>
      <c r="J52" s="13"/>
      <c r="K52" s="13"/>
      <c r="L52" s="13"/>
      <c r="M52" s="13">
        <f t="shared" si="0"/>
        <v>18</v>
      </c>
      <c r="N52" s="13">
        <f t="shared" si="1"/>
        <v>49.5</v>
      </c>
    </row>
    <row r="53" spans="1:14" hidden="1">
      <c r="A53" s="13" t="s">
        <v>72</v>
      </c>
      <c r="B53" s="13" t="s">
        <v>73</v>
      </c>
      <c r="C53" s="14">
        <v>13</v>
      </c>
      <c r="D53" s="13"/>
      <c r="E53" s="13"/>
      <c r="F53" s="13"/>
      <c r="G53" s="13"/>
      <c r="H53" s="13"/>
      <c r="I53" s="13"/>
      <c r="J53" s="13"/>
      <c r="K53" s="13"/>
      <c r="L53" s="13"/>
      <c r="M53" s="13">
        <f t="shared" si="0"/>
        <v>0</v>
      </c>
      <c r="N53" s="13">
        <f t="shared" si="1"/>
        <v>0</v>
      </c>
    </row>
    <row r="54" spans="1:14" hidden="1">
      <c r="A54" s="13" t="s">
        <v>24</v>
      </c>
      <c r="B54" s="13" t="s">
        <v>25</v>
      </c>
      <c r="C54" s="14">
        <v>1.85</v>
      </c>
      <c r="D54" s="13"/>
      <c r="E54" s="13"/>
      <c r="F54" s="13"/>
      <c r="G54" s="13"/>
      <c r="H54" s="13"/>
      <c r="I54" s="13"/>
      <c r="J54" s="13"/>
      <c r="K54" s="13"/>
      <c r="L54" s="13"/>
      <c r="M54" s="13">
        <f t="shared" si="0"/>
        <v>0</v>
      </c>
      <c r="N54" s="13">
        <f t="shared" si="1"/>
        <v>0</v>
      </c>
    </row>
    <row r="55" spans="1:14">
      <c r="A55" s="13" t="s">
        <v>20</v>
      </c>
      <c r="B55" s="13" t="s">
        <v>21</v>
      </c>
      <c r="C55" s="14">
        <v>6.2</v>
      </c>
      <c r="D55" s="13">
        <v>2</v>
      </c>
      <c r="E55" s="13"/>
      <c r="F55" s="13"/>
      <c r="G55" s="13"/>
      <c r="H55" s="13"/>
      <c r="I55" s="13"/>
      <c r="J55" s="13"/>
      <c r="K55" s="13"/>
      <c r="L55" s="13"/>
      <c r="M55" s="13">
        <f t="shared" si="0"/>
        <v>2</v>
      </c>
      <c r="N55" s="13">
        <f t="shared" si="1"/>
        <v>12.4</v>
      </c>
    </row>
    <row r="56" spans="1:14">
      <c r="A56" s="13" t="s">
        <v>118</v>
      </c>
      <c r="B56" s="13" t="s">
        <v>119</v>
      </c>
      <c r="C56" s="14">
        <v>6.5</v>
      </c>
      <c r="D56" s="13">
        <v>5</v>
      </c>
      <c r="E56" s="13"/>
      <c r="F56" s="13"/>
      <c r="G56" s="13"/>
      <c r="H56" s="13"/>
      <c r="I56" s="13"/>
      <c r="J56" s="13"/>
      <c r="K56" s="13"/>
      <c r="L56" s="13"/>
      <c r="M56" s="13">
        <f t="shared" si="0"/>
        <v>5</v>
      </c>
      <c r="N56" s="13">
        <f t="shared" si="1"/>
        <v>32.5</v>
      </c>
    </row>
    <row r="57" spans="1:14" hidden="1">
      <c r="A57" s="13" t="s">
        <v>88</v>
      </c>
      <c r="B57" s="13" t="s">
        <v>89</v>
      </c>
      <c r="C57" s="14">
        <v>2.4</v>
      </c>
      <c r="D57" s="13"/>
      <c r="E57" s="13"/>
      <c r="F57" s="13"/>
      <c r="G57" s="13"/>
      <c r="H57" s="13"/>
      <c r="I57" s="13"/>
      <c r="J57" s="13"/>
      <c r="K57" s="13"/>
      <c r="L57" s="13"/>
      <c r="M57" s="13">
        <f t="shared" si="0"/>
        <v>0</v>
      </c>
      <c r="N57" s="13">
        <f t="shared" si="1"/>
        <v>0</v>
      </c>
    </row>
    <row r="58" spans="1:14" hidden="1">
      <c r="A58" s="13" t="s">
        <v>86</v>
      </c>
      <c r="B58" s="13" t="s">
        <v>87</v>
      </c>
      <c r="C58" s="14">
        <v>2.4</v>
      </c>
      <c r="D58" s="13"/>
      <c r="E58" s="13"/>
      <c r="F58" s="13"/>
      <c r="G58" s="13"/>
      <c r="H58" s="13"/>
      <c r="I58" s="13"/>
      <c r="J58" s="13"/>
      <c r="K58" s="13"/>
      <c r="L58" s="13"/>
      <c r="M58" s="13">
        <f t="shared" si="0"/>
        <v>0</v>
      </c>
      <c r="N58" s="13">
        <f t="shared" si="1"/>
        <v>0</v>
      </c>
    </row>
    <row r="59" spans="1:14" hidden="1">
      <c r="A59" s="13" t="s">
        <v>90</v>
      </c>
      <c r="B59" s="13" t="s">
        <v>91</v>
      </c>
      <c r="C59" s="14">
        <v>2.4</v>
      </c>
      <c r="D59" s="13"/>
      <c r="E59" s="13"/>
      <c r="F59" s="13"/>
      <c r="G59" s="13"/>
      <c r="H59" s="13"/>
      <c r="I59" s="13"/>
      <c r="J59" s="13"/>
      <c r="K59" s="13"/>
      <c r="L59" s="13"/>
      <c r="M59" s="13">
        <f t="shared" si="0"/>
        <v>0</v>
      </c>
      <c r="N59" s="13">
        <f t="shared" si="1"/>
        <v>0</v>
      </c>
    </row>
    <row r="60" spans="1:14" hidden="1">
      <c r="A60" s="13" t="s">
        <v>84</v>
      </c>
      <c r="B60" s="13" t="s">
        <v>85</v>
      </c>
      <c r="C60" s="14">
        <v>2.4</v>
      </c>
      <c r="D60" s="13"/>
      <c r="E60" s="13"/>
      <c r="F60" s="13"/>
      <c r="G60" s="13"/>
      <c r="H60" s="13"/>
      <c r="I60" s="13"/>
      <c r="J60" s="13"/>
      <c r="K60" s="13"/>
      <c r="L60" s="13"/>
      <c r="M60" s="13">
        <f t="shared" si="0"/>
        <v>0</v>
      </c>
      <c r="N60" s="13">
        <f t="shared" si="1"/>
        <v>0</v>
      </c>
    </row>
    <row r="61" spans="1:14" hidden="1">
      <c r="A61" s="13" t="s">
        <v>68</v>
      </c>
      <c r="B61" s="13" t="s">
        <v>69</v>
      </c>
      <c r="C61" s="14">
        <v>2.65</v>
      </c>
      <c r="D61" s="13"/>
      <c r="E61" s="13"/>
      <c r="F61" s="13"/>
      <c r="G61" s="13"/>
      <c r="H61" s="13"/>
      <c r="I61" s="13"/>
      <c r="J61" s="13"/>
      <c r="K61" s="13"/>
      <c r="L61" s="13"/>
      <c r="M61" s="13">
        <f t="shared" si="0"/>
        <v>0</v>
      </c>
      <c r="N61" s="13">
        <f t="shared" si="1"/>
        <v>0</v>
      </c>
    </row>
    <row r="62" spans="1:14" hidden="1">
      <c r="A62" s="13" t="s">
        <v>70</v>
      </c>
      <c r="B62" s="13" t="s">
        <v>71</v>
      </c>
      <c r="C62" s="14">
        <v>2.65</v>
      </c>
      <c r="D62" s="13"/>
      <c r="E62" s="13"/>
      <c r="F62" s="13"/>
      <c r="G62" s="13"/>
      <c r="H62" s="13"/>
      <c r="I62" s="13"/>
      <c r="J62" s="13"/>
      <c r="K62" s="13"/>
      <c r="L62" s="13"/>
      <c r="M62" s="13">
        <f t="shared" si="0"/>
        <v>0</v>
      </c>
      <c r="N62" s="13">
        <f t="shared" si="1"/>
        <v>0</v>
      </c>
    </row>
    <row r="63" spans="1:14" hidden="1">
      <c r="A63" s="13" t="s">
        <v>64</v>
      </c>
      <c r="B63" s="13" t="s">
        <v>65</v>
      </c>
      <c r="C63" s="14">
        <v>2.65</v>
      </c>
      <c r="D63" s="13"/>
      <c r="E63" s="13"/>
      <c r="F63" s="13"/>
      <c r="G63" s="13"/>
      <c r="H63" s="13"/>
      <c r="I63" s="13"/>
      <c r="J63" s="13"/>
      <c r="K63" s="13"/>
      <c r="L63" s="13"/>
      <c r="M63" s="13">
        <f t="shared" si="0"/>
        <v>0</v>
      </c>
      <c r="N63" s="13">
        <f t="shared" si="1"/>
        <v>0</v>
      </c>
    </row>
    <row r="64" spans="1:14" hidden="1">
      <c r="A64" s="13" t="s">
        <v>66</v>
      </c>
      <c r="B64" s="13" t="s">
        <v>67</v>
      </c>
      <c r="C64" s="14">
        <v>2.65</v>
      </c>
      <c r="D64" s="13"/>
      <c r="E64" s="13"/>
      <c r="F64" s="13"/>
      <c r="G64" s="13"/>
      <c r="H64" s="13"/>
      <c r="I64" s="13"/>
      <c r="J64" s="13"/>
      <c r="K64" s="13"/>
      <c r="L64" s="13"/>
      <c r="M64" s="13">
        <f t="shared" si="0"/>
        <v>0</v>
      </c>
      <c r="N64" s="13">
        <f t="shared" si="1"/>
        <v>0</v>
      </c>
    </row>
    <row r="65" spans="1:14">
      <c r="A65" s="13" t="s">
        <v>18</v>
      </c>
      <c r="B65" s="13" t="s">
        <v>19</v>
      </c>
      <c r="C65" s="14">
        <v>1.45</v>
      </c>
      <c r="D65" s="13">
        <v>10</v>
      </c>
      <c r="E65" s="13">
        <v>10</v>
      </c>
      <c r="F65" s="13">
        <v>5</v>
      </c>
      <c r="G65" s="13"/>
      <c r="H65" s="13"/>
      <c r="I65" s="13"/>
      <c r="J65" s="13"/>
      <c r="K65" s="13"/>
      <c r="L65" s="13"/>
      <c r="M65" s="13">
        <f t="shared" si="0"/>
        <v>25</v>
      </c>
      <c r="N65" s="13">
        <f t="shared" si="1"/>
        <v>36.25</v>
      </c>
    </row>
    <row r="66" spans="1:14">
      <c r="A66" s="13" t="s">
        <v>100</v>
      </c>
      <c r="B66" s="13" t="s">
        <v>101</v>
      </c>
      <c r="C66" s="14">
        <v>1.8</v>
      </c>
      <c r="D66" s="13">
        <v>10</v>
      </c>
      <c r="E66" s="13"/>
      <c r="F66" s="13"/>
      <c r="G66" s="13"/>
      <c r="H66" s="13"/>
      <c r="I66" s="13"/>
      <c r="J66" s="13"/>
      <c r="K66" s="13"/>
      <c r="L66" s="13"/>
      <c r="M66" s="13">
        <f t="shared" si="0"/>
        <v>10</v>
      </c>
      <c r="N66" s="13">
        <f t="shared" si="1"/>
        <v>18</v>
      </c>
    </row>
    <row r="67" spans="1:14" hidden="1">
      <c r="A67" s="13" t="s">
        <v>8</v>
      </c>
      <c r="B67" s="13" t="s">
        <v>9</v>
      </c>
      <c r="C67" s="14">
        <v>1.8</v>
      </c>
      <c r="D67" s="13"/>
      <c r="E67" s="13"/>
      <c r="F67" s="13"/>
      <c r="G67" s="13"/>
      <c r="H67" s="13"/>
      <c r="I67" s="13"/>
      <c r="J67" s="13"/>
      <c r="K67" s="13"/>
      <c r="L67" s="13"/>
      <c r="M67" s="13">
        <f t="shared" ref="M67:M107" si="2">SUM(D67:L67)</f>
        <v>0</v>
      </c>
      <c r="N67" s="13">
        <f t="shared" ref="N67:N107" si="3">M67*C67</f>
        <v>0</v>
      </c>
    </row>
    <row r="68" spans="1:14" hidden="1">
      <c r="A68" s="13" t="s">
        <v>102</v>
      </c>
      <c r="B68" s="13" t="s">
        <v>103</v>
      </c>
      <c r="C68" s="14">
        <v>1.8</v>
      </c>
      <c r="D68" s="13"/>
      <c r="E68" s="13"/>
      <c r="F68" s="13"/>
      <c r="G68" s="13"/>
      <c r="H68" s="13"/>
      <c r="I68" s="13"/>
      <c r="J68" s="13"/>
      <c r="K68" s="13"/>
      <c r="L68" s="13"/>
      <c r="M68" s="13">
        <f t="shared" si="2"/>
        <v>0</v>
      </c>
      <c r="N68" s="13">
        <f t="shared" si="3"/>
        <v>0</v>
      </c>
    </row>
    <row r="69" spans="1:14" hidden="1">
      <c r="A69" s="13" t="s">
        <v>104</v>
      </c>
      <c r="B69" s="13" t="s">
        <v>105</v>
      </c>
      <c r="C69" s="14">
        <v>1.8</v>
      </c>
      <c r="D69" s="13"/>
      <c r="E69" s="13"/>
      <c r="F69" s="13"/>
      <c r="G69" s="13"/>
      <c r="H69" s="13"/>
      <c r="I69" s="13"/>
      <c r="J69" s="13"/>
      <c r="K69" s="13"/>
      <c r="L69" s="13"/>
      <c r="M69" s="13">
        <f t="shared" si="2"/>
        <v>0</v>
      </c>
      <c r="N69" s="13">
        <f t="shared" si="3"/>
        <v>0</v>
      </c>
    </row>
    <row r="70" spans="1:14" hidden="1">
      <c r="A70" s="13" t="s">
        <v>6</v>
      </c>
      <c r="B70" s="13" t="s">
        <v>7</v>
      </c>
      <c r="C70" s="14">
        <v>0</v>
      </c>
      <c r="D70" s="13"/>
      <c r="E70" s="13"/>
      <c r="F70" s="13"/>
      <c r="G70" s="13"/>
      <c r="H70" s="13"/>
      <c r="I70" s="13"/>
      <c r="J70" s="13"/>
      <c r="K70" s="13"/>
      <c r="L70" s="13"/>
      <c r="M70" s="13">
        <f t="shared" si="2"/>
        <v>0</v>
      </c>
      <c r="N70" s="13">
        <f t="shared" si="3"/>
        <v>0</v>
      </c>
    </row>
    <row r="71" spans="1:14" hidden="1">
      <c r="A71" s="13" t="s">
        <v>179</v>
      </c>
      <c r="B71" s="13" t="s">
        <v>180</v>
      </c>
      <c r="C71" s="14">
        <v>35</v>
      </c>
      <c r="D71" s="13"/>
      <c r="E71" s="13"/>
      <c r="F71" s="13"/>
      <c r="G71" s="13"/>
      <c r="H71" s="13"/>
      <c r="I71" s="13"/>
      <c r="J71" s="13"/>
      <c r="K71" s="13"/>
      <c r="L71" s="13"/>
      <c r="M71" s="13">
        <f t="shared" si="2"/>
        <v>0</v>
      </c>
      <c r="N71" s="13">
        <f t="shared" si="3"/>
        <v>0</v>
      </c>
    </row>
    <row r="72" spans="1:14" hidden="1">
      <c r="A72" s="13" t="s">
        <v>193</v>
      </c>
      <c r="B72" s="13" t="s">
        <v>194</v>
      </c>
      <c r="C72" s="14">
        <v>35</v>
      </c>
      <c r="D72" s="13"/>
      <c r="E72" s="13"/>
      <c r="F72" s="13"/>
      <c r="G72" s="13"/>
      <c r="H72" s="13"/>
      <c r="I72" s="13"/>
      <c r="J72" s="13"/>
      <c r="K72" s="13"/>
      <c r="L72" s="13"/>
      <c r="M72" s="13">
        <f t="shared" si="2"/>
        <v>0</v>
      </c>
      <c r="N72" s="13">
        <f t="shared" si="3"/>
        <v>0</v>
      </c>
    </row>
    <row r="73" spans="1:14" hidden="1">
      <c r="A73" s="13" t="s">
        <v>189</v>
      </c>
      <c r="B73" s="13" t="s">
        <v>190</v>
      </c>
      <c r="C73" s="14">
        <v>35</v>
      </c>
      <c r="D73" s="13"/>
      <c r="E73" s="13"/>
      <c r="F73" s="13"/>
      <c r="G73" s="13"/>
      <c r="H73" s="13"/>
      <c r="I73" s="13"/>
      <c r="J73" s="13"/>
      <c r="K73" s="13"/>
      <c r="L73" s="13"/>
      <c r="M73" s="13">
        <f t="shared" si="2"/>
        <v>0</v>
      </c>
      <c r="N73" s="13">
        <f t="shared" si="3"/>
        <v>0</v>
      </c>
    </row>
    <row r="74" spans="1:14" hidden="1">
      <c r="A74" s="13" t="s">
        <v>173</v>
      </c>
      <c r="B74" s="13" t="s">
        <v>174</v>
      </c>
      <c r="C74" s="14">
        <v>35</v>
      </c>
      <c r="D74" s="13"/>
      <c r="E74" s="13"/>
      <c r="F74" s="13"/>
      <c r="G74" s="13"/>
      <c r="H74" s="13"/>
      <c r="I74" s="13"/>
      <c r="J74" s="13"/>
      <c r="K74" s="13"/>
      <c r="L74" s="13"/>
      <c r="M74" s="13">
        <f t="shared" si="2"/>
        <v>0</v>
      </c>
      <c r="N74" s="13">
        <f t="shared" si="3"/>
        <v>0</v>
      </c>
    </row>
    <row r="75" spans="1:14" hidden="1">
      <c r="A75" s="13" t="s">
        <v>197</v>
      </c>
      <c r="B75" s="13" t="s">
        <v>198</v>
      </c>
      <c r="C75" s="14">
        <v>35</v>
      </c>
      <c r="D75" s="13"/>
      <c r="E75" s="13"/>
      <c r="F75" s="13"/>
      <c r="G75" s="13"/>
      <c r="H75" s="13"/>
      <c r="I75" s="13"/>
      <c r="J75" s="13"/>
      <c r="K75" s="13"/>
      <c r="L75" s="13"/>
      <c r="M75" s="13">
        <f t="shared" si="2"/>
        <v>0</v>
      </c>
      <c r="N75" s="13">
        <f t="shared" si="3"/>
        <v>0</v>
      </c>
    </row>
    <row r="76" spans="1:14" hidden="1">
      <c r="A76" s="13" t="s">
        <v>185</v>
      </c>
      <c r="B76" s="13" t="s">
        <v>186</v>
      </c>
      <c r="C76" s="14">
        <v>35</v>
      </c>
      <c r="D76" s="13"/>
      <c r="E76" s="13"/>
      <c r="F76" s="13"/>
      <c r="G76" s="13"/>
      <c r="H76" s="13"/>
      <c r="I76" s="13"/>
      <c r="J76" s="13"/>
      <c r="K76" s="13"/>
      <c r="L76" s="13"/>
      <c r="M76" s="13">
        <f t="shared" si="2"/>
        <v>0</v>
      </c>
      <c r="N76" s="13">
        <f t="shared" si="3"/>
        <v>0</v>
      </c>
    </row>
    <row r="77" spans="1:14" hidden="1">
      <c r="A77" s="13" t="s">
        <v>177</v>
      </c>
      <c r="B77" s="13" t="s">
        <v>178</v>
      </c>
      <c r="C77" s="14">
        <v>32</v>
      </c>
      <c r="D77" s="13"/>
      <c r="E77" s="13"/>
      <c r="F77" s="13"/>
      <c r="G77" s="13"/>
      <c r="H77" s="13"/>
      <c r="I77" s="13"/>
      <c r="J77" s="13"/>
      <c r="K77" s="13"/>
      <c r="L77" s="13"/>
      <c r="M77" s="13">
        <f t="shared" si="2"/>
        <v>0</v>
      </c>
      <c r="N77" s="13">
        <f t="shared" si="3"/>
        <v>0</v>
      </c>
    </row>
    <row r="78" spans="1:14" hidden="1">
      <c r="A78" s="13" t="s">
        <v>191</v>
      </c>
      <c r="B78" s="13" t="s">
        <v>192</v>
      </c>
      <c r="C78" s="14">
        <v>32</v>
      </c>
      <c r="D78" s="13"/>
      <c r="E78" s="13"/>
      <c r="F78" s="13"/>
      <c r="G78" s="13"/>
      <c r="H78" s="13"/>
      <c r="I78" s="13"/>
      <c r="J78" s="13"/>
      <c r="K78" s="13"/>
      <c r="L78" s="13"/>
      <c r="M78" s="13">
        <f t="shared" si="2"/>
        <v>0</v>
      </c>
      <c r="N78" s="13">
        <f t="shared" si="3"/>
        <v>0</v>
      </c>
    </row>
    <row r="79" spans="1:14" hidden="1">
      <c r="A79" s="13" t="s">
        <v>187</v>
      </c>
      <c r="B79" s="13" t="s">
        <v>188</v>
      </c>
      <c r="C79" s="14">
        <v>32</v>
      </c>
      <c r="D79" s="13"/>
      <c r="E79" s="13"/>
      <c r="F79" s="13"/>
      <c r="G79" s="13"/>
      <c r="H79" s="13"/>
      <c r="I79" s="13"/>
      <c r="J79" s="13"/>
      <c r="K79" s="13"/>
      <c r="L79" s="13"/>
      <c r="M79" s="13">
        <f t="shared" si="2"/>
        <v>0</v>
      </c>
      <c r="N79" s="13">
        <f t="shared" si="3"/>
        <v>0</v>
      </c>
    </row>
    <row r="80" spans="1:14" hidden="1">
      <c r="A80" s="13" t="s">
        <v>171</v>
      </c>
      <c r="B80" s="13" t="s">
        <v>172</v>
      </c>
      <c r="C80" s="14">
        <v>32</v>
      </c>
      <c r="D80" s="13"/>
      <c r="E80" s="13"/>
      <c r="F80" s="13"/>
      <c r="G80" s="13"/>
      <c r="H80" s="13"/>
      <c r="I80" s="13"/>
      <c r="J80" s="13"/>
      <c r="K80" s="13"/>
      <c r="L80" s="13"/>
      <c r="M80" s="13">
        <f t="shared" si="2"/>
        <v>0</v>
      </c>
      <c r="N80" s="13">
        <f t="shared" si="3"/>
        <v>0</v>
      </c>
    </row>
    <row r="81" spans="1:14" hidden="1">
      <c r="A81" s="13" t="s">
        <v>195</v>
      </c>
      <c r="B81" s="13" t="s">
        <v>196</v>
      </c>
      <c r="C81" s="14">
        <v>32</v>
      </c>
      <c r="D81" s="13"/>
      <c r="E81" s="13"/>
      <c r="F81" s="13"/>
      <c r="G81" s="13"/>
      <c r="H81" s="13"/>
      <c r="I81" s="13"/>
      <c r="J81" s="13"/>
      <c r="K81" s="13"/>
      <c r="L81" s="13"/>
      <c r="M81" s="13">
        <f t="shared" si="2"/>
        <v>0</v>
      </c>
      <c r="N81" s="13">
        <f t="shared" si="3"/>
        <v>0</v>
      </c>
    </row>
    <row r="82" spans="1:14" hidden="1">
      <c r="A82" s="13" t="s">
        <v>181</v>
      </c>
      <c r="B82" s="13" t="s">
        <v>182</v>
      </c>
      <c r="C82" s="14">
        <v>32</v>
      </c>
      <c r="D82" s="13"/>
      <c r="E82" s="13"/>
      <c r="F82" s="13"/>
      <c r="G82" s="13"/>
      <c r="H82" s="13"/>
      <c r="I82" s="13"/>
      <c r="J82" s="13"/>
      <c r="K82" s="13"/>
      <c r="L82" s="13"/>
      <c r="M82" s="13">
        <f t="shared" si="2"/>
        <v>0</v>
      </c>
      <c r="N82" s="13">
        <f t="shared" si="3"/>
        <v>0</v>
      </c>
    </row>
    <row r="83" spans="1:14" hidden="1">
      <c r="A83" s="13" t="s">
        <v>175</v>
      </c>
      <c r="B83" s="13" t="s">
        <v>176</v>
      </c>
      <c r="C83" s="14">
        <v>25</v>
      </c>
      <c r="D83" s="13"/>
      <c r="E83" s="13"/>
      <c r="F83" s="13"/>
      <c r="G83" s="13"/>
      <c r="H83" s="13"/>
      <c r="I83" s="13"/>
      <c r="J83" s="13"/>
      <c r="K83" s="13"/>
      <c r="L83" s="13"/>
      <c r="M83" s="13">
        <f t="shared" si="2"/>
        <v>0</v>
      </c>
      <c r="N83" s="13">
        <f t="shared" si="3"/>
        <v>0</v>
      </c>
    </row>
    <row r="84" spans="1:14" hidden="1">
      <c r="A84" s="13" t="s">
        <v>183</v>
      </c>
      <c r="B84" s="13" t="s">
        <v>184</v>
      </c>
      <c r="C84" s="14">
        <v>25</v>
      </c>
      <c r="D84" s="13"/>
      <c r="E84" s="13"/>
      <c r="F84" s="13"/>
      <c r="G84" s="13"/>
      <c r="H84" s="13"/>
      <c r="I84" s="13"/>
      <c r="J84" s="13"/>
      <c r="K84" s="13"/>
      <c r="L84" s="13"/>
      <c r="M84" s="13">
        <f t="shared" si="2"/>
        <v>0</v>
      </c>
      <c r="N84" s="13">
        <f t="shared" si="3"/>
        <v>0</v>
      </c>
    </row>
    <row r="85" spans="1:14" hidden="1">
      <c r="A85" s="13" t="s">
        <v>149</v>
      </c>
      <c r="B85" s="13" t="s">
        <v>150</v>
      </c>
      <c r="C85" s="14">
        <v>37</v>
      </c>
      <c r="D85" s="13"/>
      <c r="E85" s="13"/>
      <c r="F85" s="13"/>
      <c r="G85" s="13"/>
      <c r="H85" s="13"/>
      <c r="I85" s="13"/>
      <c r="J85" s="13"/>
      <c r="K85" s="13"/>
      <c r="L85" s="13"/>
      <c r="M85" s="13">
        <f t="shared" si="2"/>
        <v>0</v>
      </c>
      <c r="N85" s="13">
        <f t="shared" si="3"/>
        <v>0</v>
      </c>
    </row>
    <row r="86" spans="1:14" hidden="1">
      <c r="A86" s="13" t="s">
        <v>167</v>
      </c>
      <c r="B86" s="13" t="s">
        <v>168</v>
      </c>
      <c r="C86" s="14">
        <v>37</v>
      </c>
      <c r="D86" s="13"/>
      <c r="E86" s="13"/>
      <c r="F86" s="13"/>
      <c r="G86" s="13"/>
      <c r="H86" s="13"/>
      <c r="I86" s="13"/>
      <c r="J86" s="13"/>
      <c r="K86" s="13"/>
      <c r="L86" s="13"/>
      <c r="M86" s="13">
        <f t="shared" si="2"/>
        <v>0</v>
      </c>
      <c r="N86" s="13">
        <f t="shared" si="3"/>
        <v>0</v>
      </c>
    </row>
    <row r="87" spans="1:14" hidden="1">
      <c r="A87" s="13" t="s">
        <v>161</v>
      </c>
      <c r="B87" s="13" t="s">
        <v>162</v>
      </c>
      <c r="C87" s="14">
        <v>37</v>
      </c>
      <c r="D87" s="13"/>
      <c r="E87" s="13"/>
      <c r="F87" s="13"/>
      <c r="G87" s="13"/>
      <c r="H87" s="13"/>
      <c r="I87" s="13"/>
      <c r="J87" s="13"/>
      <c r="K87" s="13"/>
      <c r="L87" s="13"/>
      <c r="M87" s="13">
        <f t="shared" si="2"/>
        <v>0</v>
      </c>
      <c r="N87" s="13">
        <f t="shared" si="3"/>
        <v>0</v>
      </c>
    </row>
    <row r="88" spans="1:14" hidden="1">
      <c r="A88" s="13" t="s">
        <v>157</v>
      </c>
      <c r="B88" s="13" t="s">
        <v>158</v>
      </c>
      <c r="C88" s="14">
        <v>37</v>
      </c>
      <c r="D88" s="13"/>
      <c r="E88" s="13"/>
      <c r="F88" s="13"/>
      <c r="G88" s="13"/>
      <c r="H88" s="13"/>
      <c r="I88" s="13"/>
      <c r="J88" s="13"/>
      <c r="K88" s="13"/>
      <c r="L88" s="13"/>
      <c r="M88" s="13">
        <f t="shared" si="2"/>
        <v>0</v>
      </c>
      <c r="N88" s="13">
        <f t="shared" si="3"/>
        <v>0</v>
      </c>
    </row>
    <row r="89" spans="1:14" hidden="1">
      <c r="A89" s="13" t="s">
        <v>143</v>
      </c>
      <c r="B89" s="13" t="s">
        <v>144</v>
      </c>
      <c r="C89" s="14">
        <v>37</v>
      </c>
      <c r="D89" s="13"/>
      <c r="E89" s="13"/>
      <c r="F89" s="13"/>
      <c r="G89" s="13"/>
      <c r="H89" s="13"/>
      <c r="I89" s="13"/>
      <c r="J89" s="13"/>
      <c r="K89" s="13"/>
      <c r="L89" s="13"/>
      <c r="M89" s="13">
        <f t="shared" si="2"/>
        <v>0</v>
      </c>
      <c r="N89" s="13">
        <f t="shared" si="3"/>
        <v>0</v>
      </c>
    </row>
    <row r="90" spans="1:14" hidden="1">
      <c r="A90" s="13" t="s">
        <v>153</v>
      </c>
      <c r="B90" s="13" t="s">
        <v>154</v>
      </c>
      <c r="C90" s="14">
        <v>37</v>
      </c>
      <c r="D90" s="13"/>
      <c r="E90" s="13"/>
      <c r="F90" s="13"/>
      <c r="G90" s="13"/>
      <c r="H90" s="13"/>
      <c r="I90" s="13"/>
      <c r="J90" s="13"/>
      <c r="K90" s="13"/>
      <c r="L90" s="13"/>
      <c r="M90" s="13">
        <f t="shared" si="2"/>
        <v>0</v>
      </c>
      <c r="N90" s="13">
        <f t="shared" si="3"/>
        <v>0</v>
      </c>
    </row>
    <row r="91" spans="1:14" hidden="1">
      <c r="A91" s="13" t="s">
        <v>199</v>
      </c>
      <c r="B91" s="13" t="s">
        <v>200</v>
      </c>
      <c r="C91" s="14">
        <v>15</v>
      </c>
      <c r="D91" s="13"/>
      <c r="E91" s="13"/>
      <c r="F91" s="13"/>
      <c r="G91" s="13"/>
      <c r="H91" s="13"/>
      <c r="I91" s="13"/>
      <c r="J91" s="13"/>
      <c r="K91" s="13"/>
      <c r="L91" s="13"/>
      <c r="M91" s="13">
        <f t="shared" si="2"/>
        <v>0</v>
      </c>
      <c r="N91" s="13">
        <f t="shared" si="3"/>
        <v>0</v>
      </c>
    </row>
    <row r="92" spans="1:14" hidden="1">
      <c r="A92" s="13" t="s">
        <v>211</v>
      </c>
      <c r="B92" s="13" t="s">
        <v>212</v>
      </c>
      <c r="C92" s="14">
        <v>15</v>
      </c>
      <c r="D92" s="13"/>
      <c r="E92" s="13"/>
      <c r="F92" s="13"/>
      <c r="G92" s="13"/>
      <c r="H92" s="13"/>
      <c r="I92" s="13"/>
      <c r="J92" s="13"/>
      <c r="K92" s="13"/>
      <c r="L92" s="13"/>
      <c r="M92" s="13">
        <f t="shared" si="2"/>
        <v>0</v>
      </c>
      <c r="N92" s="13">
        <f t="shared" si="3"/>
        <v>0</v>
      </c>
    </row>
    <row r="93" spans="1:14" hidden="1">
      <c r="A93" s="13" t="s">
        <v>3</v>
      </c>
      <c r="B93" s="13" t="s">
        <v>4</v>
      </c>
      <c r="C93" s="14">
        <v>15</v>
      </c>
      <c r="D93" s="13"/>
      <c r="E93" s="13"/>
      <c r="F93" s="13"/>
      <c r="G93" s="13"/>
      <c r="H93" s="13"/>
      <c r="I93" s="13"/>
      <c r="J93" s="13"/>
      <c r="K93" s="13"/>
      <c r="L93" s="13"/>
      <c r="M93" s="13">
        <f t="shared" si="2"/>
        <v>0</v>
      </c>
      <c r="N93" s="13">
        <f t="shared" si="3"/>
        <v>0</v>
      </c>
    </row>
    <row r="94" spans="1:14" hidden="1">
      <c r="A94" s="13" t="s">
        <v>151</v>
      </c>
      <c r="B94" s="13" t="s">
        <v>152</v>
      </c>
      <c r="C94" s="14">
        <v>40</v>
      </c>
      <c r="D94" s="13"/>
      <c r="E94" s="13"/>
      <c r="F94" s="13"/>
      <c r="G94" s="13"/>
      <c r="H94" s="13"/>
      <c r="I94" s="13"/>
      <c r="J94" s="13"/>
      <c r="K94" s="13"/>
      <c r="L94" s="13"/>
      <c r="M94" s="13">
        <f t="shared" si="2"/>
        <v>0</v>
      </c>
      <c r="N94" s="13">
        <f t="shared" si="3"/>
        <v>0</v>
      </c>
    </row>
    <row r="95" spans="1:14" hidden="1">
      <c r="A95" s="13" t="s">
        <v>169</v>
      </c>
      <c r="B95" s="13" t="s">
        <v>170</v>
      </c>
      <c r="C95" s="14">
        <v>40</v>
      </c>
      <c r="D95" s="13"/>
      <c r="E95" s="13"/>
      <c r="F95" s="13"/>
      <c r="G95" s="13"/>
      <c r="H95" s="13"/>
      <c r="I95" s="13"/>
      <c r="J95" s="13"/>
      <c r="K95" s="13"/>
      <c r="L95" s="13"/>
      <c r="M95" s="13">
        <f t="shared" si="2"/>
        <v>0</v>
      </c>
      <c r="N95" s="13">
        <f t="shared" si="3"/>
        <v>0</v>
      </c>
    </row>
    <row r="96" spans="1:14" hidden="1">
      <c r="A96" s="13" t="s">
        <v>163</v>
      </c>
      <c r="B96" s="13" t="s">
        <v>164</v>
      </c>
      <c r="C96" s="14">
        <v>40</v>
      </c>
      <c r="D96" s="13"/>
      <c r="E96" s="13"/>
      <c r="F96" s="13"/>
      <c r="G96" s="13"/>
      <c r="H96" s="13"/>
      <c r="I96" s="13"/>
      <c r="J96" s="13"/>
      <c r="K96" s="13"/>
      <c r="L96" s="13"/>
      <c r="M96" s="13">
        <f t="shared" si="2"/>
        <v>0</v>
      </c>
      <c r="N96" s="13">
        <f t="shared" si="3"/>
        <v>0</v>
      </c>
    </row>
    <row r="97" spans="1:14" hidden="1">
      <c r="A97" s="13" t="s">
        <v>145</v>
      </c>
      <c r="B97" s="13" t="s">
        <v>146</v>
      </c>
      <c r="C97" s="14">
        <v>40</v>
      </c>
      <c r="D97" s="13"/>
      <c r="E97" s="13"/>
      <c r="F97" s="13"/>
      <c r="G97" s="13"/>
      <c r="H97" s="13"/>
      <c r="I97" s="13"/>
      <c r="J97" s="13"/>
      <c r="K97" s="13"/>
      <c r="L97" s="13"/>
      <c r="M97" s="13">
        <f t="shared" si="2"/>
        <v>0</v>
      </c>
      <c r="N97" s="13">
        <f t="shared" si="3"/>
        <v>0</v>
      </c>
    </row>
    <row r="98" spans="1:14" hidden="1">
      <c r="A98" s="13" t="s">
        <v>155</v>
      </c>
      <c r="B98" s="13" t="s">
        <v>156</v>
      </c>
      <c r="C98" s="14">
        <v>32</v>
      </c>
      <c r="D98" s="13"/>
      <c r="E98" s="13"/>
      <c r="F98" s="13"/>
      <c r="G98" s="13"/>
      <c r="H98" s="13"/>
      <c r="I98" s="13"/>
      <c r="J98" s="13"/>
      <c r="K98" s="13"/>
      <c r="L98" s="13"/>
      <c r="M98" s="13">
        <f t="shared" si="2"/>
        <v>0</v>
      </c>
      <c r="N98" s="13">
        <f t="shared" si="3"/>
        <v>0</v>
      </c>
    </row>
    <row r="99" spans="1:14" hidden="1">
      <c r="A99" s="13" t="s">
        <v>147</v>
      </c>
      <c r="B99" s="13" t="s">
        <v>148</v>
      </c>
      <c r="C99" s="14">
        <v>35</v>
      </c>
      <c r="D99" s="13"/>
      <c r="E99" s="13"/>
      <c r="F99" s="13"/>
      <c r="G99" s="13"/>
      <c r="H99" s="13"/>
      <c r="I99" s="13"/>
      <c r="J99" s="13"/>
      <c r="K99" s="13"/>
      <c r="L99" s="13"/>
      <c r="M99" s="13">
        <f t="shared" si="2"/>
        <v>0</v>
      </c>
      <c r="N99" s="13">
        <f t="shared" si="3"/>
        <v>0</v>
      </c>
    </row>
    <row r="100" spans="1:14" hidden="1">
      <c r="A100" s="13" t="s">
        <v>165</v>
      </c>
      <c r="B100" s="13" t="s">
        <v>166</v>
      </c>
      <c r="C100" s="14">
        <v>35</v>
      </c>
      <c r="D100" s="13"/>
      <c r="E100" s="13"/>
      <c r="F100" s="13"/>
      <c r="G100" s="13"/>
      <c r="H100" s="13"/>
      <c r="I100" s="13"/>
      <c r="J100" s="13"/>
      <c r="K100" s="13"/>
      <c r="L100" s="13"/>
      <c r="M100" s="13">
        <f t="shared" si="2"/>
        <v>0</v>
      </c>
      <c r="N100" s="13">
        <f t="shared" si="3"/>
        <v>0</v>
      </c>
    </row>
    <row r="101" spans="1:14" hidden="1">
      <c r="A101" s="13" t="s">
        <v>159</v>
      </c>
      <c r="B101" s="13" t="s">
        <v>160</v>
      </c>
      <c r="C101" s="14">
        <v>35</v>
      </c>
      <c r="D101" s="13"/>
      <c r="E101" s="13"/>
      <c r="F101" s="13"/>
      <c r="G101" s="13"/>
      <c r="H101" s="13"/>
      <c r="I101" s="13"/>
      <c r="J101" s="13"/>
      <c r="K101" s="13"/>
      <c r="L101" s="13"/>
      <c r="M101" s="13">
        <f t="shared" si="2"/>
        <v>0</v>
      </c>
      <c r="N101" s="13">
        <f t="shared" si="3"/>
        <v>0</v>
      </c>
    </row>
    <row r="102" spans="1:14" hidden="1">
      <c r="A102" s="13" t="s">
        <v>141</v>
      </c>
      <c r="B102" s="13" t="s">
        <v>142</v>
      </c>
      <c r="C102" s="14">
        <v>35</v>
      </c>
      <c r="D102" s="13"/>
      <c r="E102" s="13"/>
      <c r="F102" s="13"/>
      <c r="G102" s="13"/>
      <c r="H102" s="13"/>
      <c r="I102" s="13"/>
      <c r="J102" s="13"/>
      <c r="K102" s="13"/>
      <c r="L102" s="13"/>
      <c r="M102" s="13">
        <f t="shared" si="2"/>
        <v>0</v>
      </c>
      <c r="N102" s="13">
        <f t="shared" si="3"/>
        <v>0</v>
      </c>
    </row>
    <row r="103" spans="1:14" hidden="1">
      <c r="A103" s="13" t="s">
        <v>209</v>
      </c>
      <c r="B103" s="13" t="s">
        <v>210</v>
      </c>
      <c r="C103" s="14">
        <v>15</v>
      </c>
      <c r="D103" s="13"/>
      <c r="E103" s="13"/>
      <c r="F103" s="13"/>
      <c r="G103" s="13"/>
      <c r="H103" s="13"/>
      <c r="I103" s="13"/>
      <c r="J103" s="13"/>
      <c r="K103" s="13"/>
      <c r="L103" s="13"/>
      <c r="M103" s="13">
        <f t="shared" si="2"/>
        <v>0</v>
      </c>
      <c r="N103" s="13">
        <f t="shared" si="3"/>
        <v>0</v>
      </c>
    </row>
    <row r="104" spans="1:14" hidden="1">
      <c r="A104" s="13" t="s">
        <v>137</v>
      </c>
      <c r="B104" s="13" t="s">
        <v>138</v>
      </c>
      <c r="C104" s="14">
        <v>10</v>
      </c>
      <c r="D104" s="13"/>
      <c r="E104" s="13"/>
      <c r="F104" s="13"/>
      <c r="G104" s="13"/>
      <c r="H104" s="13"/>
      <c r="I104" s="13"/>
      <c r="J104" s="13"/>
      <c r="K104" s="13"/>
      <c r="L104" s="13"/>
      <c r="M104" s="13">
        <f t="shared" si="2"/>
        <v>0</v>
      </c>
      <c r="N104" s="13">
        <f t="shared" si="3"/>
        <v>0</v>
      </c>
    </row>
    <row r="105" spans="1:14" hidden="1">
      <c r="A105" s="13" t="s">
        <v>139</v>
      </c>
      <c r="B105" s="13" t="s">
        <v>140</v>
      </c>
      <c r="C105" s="14">
        <v>10</v>
      </c>
      <c r="D105" s="13"/>
      <c r="E105" s="13"/>
      <c r="F105" s="13"/>
      <c r="G105" s="13"/>
      <c r="H105" s="13"/>
      <c r="I105" s="13"/>
      <c r="J105" s="13"/>
      <c r="K105" s="13"/>
      <c r="L105" s="13"/>
      <c r="M105" s="13">
        <f t="shared" si="2"/>
        <v>0</v>
      </c>
      <c r="N105" s="13">
        <f t="shared" si="3"/>
        <v>0</v>
      </c>
    </row>
    <row r="106" spans="1:14" hidden="1">
      <c r="A106" s="13" t="s">
        <v>135</v>
      </c>
      <c r="B106" s="13" t="s">
        <v>136</v>
      </c>
      <c r="C106" s="14">
        <v>2.5</v>
      </c>
      <c r="D106" s="13"/>
      <c r="E106" s="13"/>
      <c r="F106" s="13"/>
      <c r="G106" s="13"/>
      <c r="H106" s="13"/>
      <c r="I106" s="13"/>
      <c r="J106" s="13"/>
      <c r="K106" s="13"/>
      <c r="L106" s="13"/>
      <c r="M106" s="13">
        <f t="shared" si="2"/>
        <v>0</v>
      </c>
      <c r="N106" s="13">
        <f t="shared" si="3"/>
        <v>0</v>
      </c>
    </row>
    <row r="107" spans="1:14" hidden="1">
      <c r="A107" s="13" t="s">
        <v>203</v>
      </c>
      <c r="B107" s="13" t="s">
        <v>204</v>
      </c>
      <c r="C107" s="14">
        <v>2.5</v>
      </c>
      <c r="D107" s="13"/>
      <c r="E107" s="13"/>
      <c r="F107" s="13"/>
      <c r="G107" s="13"/>
      <c r="H107" s="13"/>
      <c r="I107" s="13"/>
      <c r="J107" s="13"/>
      <c r="K107" s="13"/>
      <c r="L107" s="13"/>
      <c r="M107" s="13">
        <f t="shared" si="2"/>
        <v>0</v>
      </c>
      <c r="N107" s="13">
        <f t="shared" si="3"/>
        <v>0</v>
      </c>
    </row>
  </sheetData>
  <autoFilter ref="A1:N107" xr:uid="{00000000-0009-0000-0000-000002000000}">
    <filterColumn colId="12">
      <filters>
        <filter val="10"/>
        <filter val="14"/>
        <filter val="15"/>
        <filter val="16"/>
        <filter val="17"/>
        <filter val="18"/>
        <filter val="2"/>
        <filter val="23"/>
        <filter val="25"/>
        <filter val="29"/>
        <filter val="31"/>
        <filter val="4"/>
        <filter val="5"/>
        <filter val="56"/>
        <filter val="7"/>
      </filters>
    </filterColumn>
  </autoFilter>
  <pageMargins left="6.25E-2" right="0.11458333333333333" top="0.23958333333333334" bottom="0.75" header="0.3" footer="0.3"/>
  <pageSetup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H107"/>
  <sheetViews>
    <sheetView view="pageLayout" zoomScaleNormal="100" workbookViewId="0">
      <selection activeCell="F120" sqref="F120"/>
    </sheetView>
  </sheetViews>
  <sheetFormatPr defaultRowHeight="15"/>
  <cols>
    <col min="1" max="1" width="8.42578125" bestFit="1" customWidth="1"/>
    <col min="2" max="2" width="57.28515625" bestFit="1" customWidth="1"/>
    <col min="3" max="3" width="7.85546875" bestFit="1" customWidth="1"/>
    <col min="4" max="4" width="8.5703125" hidden="1" customWidth="1"/>
    <col min="5" max="5" width="14.85546875" bestFit="1" customWidth="1"/>
    <col min="6" max="6" width="16.140625" bestFit="1" customWidth="1"/>
    <col min="8" max="8" width="8" bestFit="1" customWidth="1"/>
    <col min="9" max="9" width="8.140625" bestFit="1" customWidth="1"/>
  </cols>
  <sheetData>
    <row r="1" spans="1:8">
      <c r="A1" s="13" t="s">
        <v>263</v>
      </c>
      <c r="B1" s="13" t="s">
        <v>252</v>
      </c>
      <c r="C1" s="13" t="s">
        <v>274</v>
      </c>
      <c r="D1" s="13" t="s">
        <v>5</v>
      </c>
      <c r="E1" s="13" t="s">
        <v>275</v>
      </c>
      <c r="F1" s="33" t="s">
        <v>281</v>
      </c>
      <c r="H1" s="19">
        <f>SUM(F5:F70)</f>
        <v>872.25</v>
      </c>
    </row>
    <row r="2" spans="1:8" hidden="1">
      <c r="A2" s="13" t="s">
        <v>126</v>
      </c>
      <c r="B2" s="13" t="s">
        <v>127</v>
      </c>
      <c r="C2" s="14">
        <v>6.5</v>
      </c>
      <c r="D2" s="13">
        <v>2</v>
      </c>
      <c r="E2" s="13">
        <v>0</v>
      </c>
      <c r="F2" s="13">
        <f t="shared" ref="F2:F33" si="0">E2*C2</f>
        <v>0</v>
      </c>
    </row>
    <row r="3" spans="1:8" hidden="1">
      <c r="A3" s="13" t="s">
        <v>116</v>
      </c>
      <c r="B3" s="13" t="s">
        <v>117</v>
      </c>
      <c r="C3" s="14">
        <v>5.95</v>
      </c>
      <c r="D3" s="13"/>
      <c r="E3" s="13">
        <f>SUM(D3:D3)</f>
        <v>0</v>
      </c>
      <c r="F3" s="13">
        <f t="shared" si="0"/>
        <v>0</v>
      </c>
    </row>
    <row r="4" spans="1:8" hidden="1">
      <c r="A4" s="13" t="s">
        <v>98</v>
      </c>
      <c r="B4" s="13" t="s">
        <v>99</v>
      </c>
      <c r="C4" s="14">
        <v>5.45</v>
      </c>
      <c r="D4" s="13"/>
      <c r="E4" s="13">
        <f>SUM(D4:D4)</f>
        <v>0</v>
      </c>
      <c r="F4" s="13">
        <f t="shared" si="0"/>
        <v>0</v>
      </c>
    </row>
    <row r="5" spans="1:8">
      <c r="A5" s="13" t="s">
        <v>92</v>
      </c>
      <c r="B5" s="13" t="s">
        <v>93</v>
      </c>
      <c r="C5" s="14">
        <f>VLOOKUP(A5,თვითღირებულება!A:X,24,0)</f>
        <v>3.9</v>
      </c>
      <c r="D5" s="13">
        <v>10</v>
      </c>
      <c r="E5" s="33">
        <f>SUM(D5:D5)</f>
        <v>10</v>
      </c>
      <c r="F5" s="14">
        <f t="shared" si="0"/>
        <v>39</v>
      </c>
    </row>
    <row r="6" spans="1:8">
      <c r="A6" s="13" t="s">
        <v>62</v>
      </c>
      <c r="B6" s="13" t="s">
        <v>63</v>
      </c>
      <c r="C6" s="14">
        <f>VLOOKUP(A6,თვითღირებულება!A:X,24,0)</f>
        <v>12.75</v>
      </c>
      <c r="D6" s="13">
        <v>5</v>
      </c>
      <c r="E6" s="33">
        <f>SUM(D6:D6)</f>
        <v>5</v>
      </c>
      <c r="F6" s="14">
        <f t="shared" si="0"/>
        <v>63.75</v>
      </c>
    </row>
    <row r="7" spans="1:8">
      <c r="A7" s="13" t="s">
        <v>60</v>
      </c>
      <c r="B7" s="13" t="s">
        <v>61</v>
      </c>
      <c r="C7" s="14">
        <f>VLOOKUP(A7,თვითღირებულება!A:X,24,0)</f>
        <v>9</v>
      </c>
      <c r="D7" s="13"/>
      <c r="E7" s="33">
        <v>10</v>
      </c>
      <c r="F7" s="14">
        <f t="shared" si="0"/>
        <v>90</v>
      </c>
    </row>
    <row r="8" spans="1:8" hidden="1">
      <c r="A8" s="13" t="s">
        <v>58</v>
      </c>
      <c r="B8" s="13" t="s">
        <v>59</v>
      </c>
      <c r="C8" s="14">
        <v>4.6500000000000004</v>
      </c>
      <c r="D8" s="13"/>
      <c r="E8" s="13">
        <f t="shared" ref="E8:E23" si="1">SUM(D8:D8)</f>
        <v>0</v>
      </c>
      <c r="F8" s="13">
        <f t="shared" si="0"/>
        <v>0</v>
      </c>
    </row>
    <row r="9" spans="1:8" hidden="1">
      <c r="A9" s="13" t="s">
        <v>56</v>
      </c>
      <c r="B9" s="13" t="s">
        <v>57</v>
      </c>
      <c r="C9" s="14">
        <v>4.6500000000000004</v>
      </c>
      <c r="D9" s="13"/>
      <c r="E9" s="13">
        <f t="shared" si="1"/>
        <v>0</v>
      </c>
      <c r="F9" s="13">
        <f t="shared" si="0"/>
        <v>0</v>
      </c>
    </row>
    <row r="10" spans="1:8" hidden="1">
      <c r="A10" s="13" t="s">
        <v>54</v>
      </c>
      <c r="B10" s="13" t="s">
        <v>55</v>
      </c>
      <c r="C10" s="14">
        <v>4.6500000000000004</v>
      </c>
      <c r="D10" s="13"/>
      <c r="E10" s="13">
        <f t="shared" si="1"/>
        <v>0</v>
      </c>
      <c r="F10" s="13">
        <f t="shared" si="0"/>
        <v>0</v>
      </c>
    </row>
    <row r="11" spans="1:8" hidden="1">
      <c r="A11" s="13" t="s">
        <v>50</v>
      </c>
      <c r="B11" s="13" t="s">
        <v>51</v>
      </c>
      <c r="C11" s="14">
        <v>3.85</v>
      </c>
      <c r="D11" s="13"/>
      <c r="E11" s="13">
        <f t="shared" si="1"/>
        <v>0</v>
      </c>
      <c r="F11" s="13">
        <f t="shared" si="0"/>
        <v>0</v>
      </c>
    </row>
    <row r="12" spans="1:8" hidden="1">
      <c r="A12" s="13" t="s">
        <v>40</v>
      </c>
      <c r="B12" s="13" t="s">
        <v>41</v>
      </c>
      <c r="C12" s="14">
        <v>3</v>
      </c>
      <c r="D12" s="13"/>
      <c r="E12" s="13">
        <f t="shared" si="1"/>
        <v>0</v>
      </c>
      <c r="F12" s="13">
        <f t="shared" si="0"/>
        <v>0</v>
      </c>
    </row>
    <row r="13" spans="1:8" hidden="1">
      <c r="A13" s="13" t="s">
        <v>38</v>
      </c>
      <c r="B13" s="13" t="s">
        <v>39</v>
      </c>
      <c r="C13" s="14">
        <v>3</v>
      </c>
      <c r="D13" s="13"/>
      <c r="E13" s="13">
        <f t="shared" si="1"/>
        <v>0</v>
      </c>
      <c r="F13" s="13">
        <f t="shared" si="0"/>
        <v>0</v>
      </c>
    </row>
    <row r="14" spans="1:8" hidden="1">
      <c r="A14" s="13" t="s">
        <v>42</v>
      </c>
      <c r="B14" s="13" t="s">
        <v>43</v>
      </c>
      <c r="C14" s="14">
        <v>3</v>
      </c>
      <c r="D14" s="13"/>
      <c r="E14" s="13">
        <f t="shared" si="1"/>
        <v>0</v>
      </c>
      <c r="F14" s="13">
        <f t="shared" si="0"/>
        <v>0</v>
      </c>
    </row>
    <row r="15" spans="1:8" hidden="1">
      <c r="A15" s="13" t="s">
        <v>36</v>
      </c>
      <c r="B15" s="13" t="s">
        <v>37</v>
      </c>
      <c r="C15" s="14">
        <v>3</v>
      </c>
      <c r="D15" s="13"/>
      <c r="E15" s="13">
        <f t="shared" si="1"/>
        <v>0</v>
      </c>
      <c r="F15" s="13">
        <f t="shared" si="0"/>
        <v>0</v>
      </c>
    </row>
    <row r="16" spans="1:8">
      <c r="A16" s="13" t="s">
        <v>26</v>
      </c>
      <c r="B16" s="13" t="s">
        <v>27</v>
      </c>
      <c r="C16" s="14">
        <f>VLOOKUP(A16,თვითღირებულება!A:X,24,0)</f>
        <v>6.8</v>
      </c>
      <c r="D16" s="13">
        <v>5</v>
      </c>
      <c r="E16" s="33">
        <f t="shared" si="1"/>
        <v>5</v>
      </c>
      <c r="F16" s="14">
        <f t="shared" si="0"/>
        <v>34</v>
      </c>
    </row>
    <row r="17" spans="1:6">
      <c r="A17" s="13" t="s">
        <v>22</v>
      </c>
      <c r="B17" s="13" t="s">
        <v>23</v>
      </c>
      <c r="C17" s="14">
        <f>VLOOKUP(A17,თვითღირებულება!A:X,24,0)</f>
        <v>4</v>
      </c>
      <c r="D17" s="13">
        <v>15</v>
      </c>
      <c r="E17" s="33">
        <f t="shared" si="1"/>
        <v>15</v>
      </c>
      <c r="F17" s="14">
        <f t="shared" si="0"/>
        <v>60</v>
      </c>
    </row>
    <row r="18" spans="1:6" hidden="1">
      <c r="A18" s="13" t="s">
        <v>122</v>
      </c>
      <c r="B18" s="13" t="s">
        <v>123</v>
      </c>
      <c r="C18" s="14">
        <v>2.75</v>
      </c>
      <c r="D18" s="13"/>
      <c r="E18" s="13">
        <f t="shared" si="1"/>
        <v>0</v>
      </c>
      <c r="F18" s="13">
        <f t="shared" si="0"/>
        <v>0</v>
      </c>
    </row>
    <row r="19" spans="1:6" hidden="1">
      <c r="A19" s="13" t="s">
        <v>120</v>
      </c>
      <c r="B19" s="13" t="s">
        <v>121</v>
      </c>
      <c r="C19" s="14">
        <v>5.45</v>
      </c>
      <c r="D19" s="13"/>
      <c r="E19" s="13">
        <f t="shared" si="1"/>
        <v>0</v>
      </c>
      <c r="F19" s="13">
        <f t="shared" si="0"/>
        <v>0</v>
      </c>
    </row>
    <row r="20" spans="1:6">
      <c r="A20" s="13" t="s">
        <v>114</v>
      </c>
      <c r="B20" s="13" t="s">
        <v>115</v>
      </c>
      <c r="C20" s="14">
        <f>VLOOKUP(A20,თვითღირებულება!A:X,24,0)</f>
        <v>6.4</v>
      </c>
      <c r="D20" s="13">
        <v>5</v>
      </c>
      <c r="E20" s="33">
        <f t="shared" si="1"/>
        <v>5</v>
      </c>
      <c r="F20" s="14">
        <f t="shared" si="0"/>
        <v>32</v>
      </c>
    </row>
    <row r="21" spans="1:6" hidden="1">
      <c r="A21" s="13" t="s">
        <v>271</v>
      </c>
      <c r="B21" s="13" t="s">
        <v>134</v>
      </c>
      <c r="C21" s="14">
        <v>2.25</v>
      </c>
      <c r="D21" s="13"/>
      <c r="E21" s="13">
        <f t="shared" si="1"/>
        <v>0</v>
      </c>
      <c r="F21" s="13">
        <f t="shared" si="0"/>
        <v>0</v>
      </c>
    </row>
    <row r="22" spans="1:6" hidden="1">
      <c r="A22" s="13" t="s">
        <v>96</v>
      </c>
      <c r="B22" s="13" t="s">
        <v>97</v>
      </c>
      <c r="C22" s="14">
        <v>3</v>
      </c>
      <c r="D22" s="13"/>
      <c r="E22" s="13">
        <f t="shared" si="1"/>
        <v>0</v>
      </c>
      <c r="F22" s="13">
        <f t="shared" si="0"/>
        <v>0</v>
      </c>
    </row>
    <row r="23" spans="1:6">
      <c r="A23" s="13" t="s">
        <v>94</v>
      </c>
      <c r="B23" s="13" t="s">
        <v>95</v>
      </c>
      <c r="C23" s="14">
        <f>VLOOKUP(A23,თვითღირებულება!A:X,24,0)</f>
        <v>5</v>
      </c>
      <c r="D23" s="13">
        <v>10</v>
      </c>
      <c r="E23" s="33">
        <f t="shared" si="1"/>
        <v>10</v>
      </c>
      <c r="F23" s="14">
        <f t="shared" si="0"/>
        <v>50</v>
      </c>
    </row>
    <row r="24" spans="1:6">
      <c r="A24" s="13" t="s">
        <v>52</v>
      </c>
      <c r="B24" s="13" t="s">
        <v>53</v>
      </c>
      <c r="C24" s="14">
        <f>VLOOKUP(A24,თვითღირებულება!A:X,24,0)</f>
        <v>7.65</v>
      </c>
      <c r="D24" s="13">
        <v>16</v>
      </c>
      <c r="E24" s="33">
        <v>20</v>
      </c>
      <c r="F24" s="14">
        <f t="shared" si="0"/>
        <v>153</v>
      </c>
    </row>
    <row r="25" spans="1:6" hidden="1">
      <c r="A25" s="13" t="s">
        <v>46</v>
      </c>
      <c r="B25" s="13" t="s">
        <v>47</v>
      </c>
      <c r="C25" s="14">
        <v>1.7</v>
      </c>
      <c r="D25" s="13"/>
      <c r="E25" s="13">
        <f t="shared" ref="E25:E56" si="2">SUM(D25:D25)</f>
        <v>0</v>
      </c>
      <c r="F25" s="13">
        <f t="shared" si="0"/>
        <v>0</v>
      </c>
    </row>
    <row r="26" spans="1:6" hidden="1">
      <c r="A26" s="13" t="s">
        <v>124</v>
      </c>
      <c r="B26" s="13" t="s">
        <v>125</v>
      </c>
      <c r="C26" s="14">
        <v>2</v>
      </c>
      <c r="D26" s="13"/>
      <c r="E26" s="13">
        <f t="shared" si="2"/>
        <v>0</v>
      </c>
      <c r="F26" s="13">
        <f t="shared" si="0"/>
        <v>0</v>
      </c>
    </row>
    <row r="27" spans="1:6" hidden="1">
      <c r="A27" s="13" t="s">
        <v>44</v>
      </c>
      <c r="B27" s="13" t="s">
        <v>45</v>
      </c>
      <c r="C27" s="14">
        <v>2</v>
      </c>
      <c r="D27" s="13"/>
      <c r="E27" s="13">
        <f t="shared" si="2"/>
        <v>0</v>
      </c>
      <c r="F27" s="13">
        <f t="shared" si="0"/>
        <v>0</v>
      </c>
    </row>
    <row r="28" spans="1:6" hidden="1">
      <c r="A28" s="13" t="s">
        <v>48</v>
      </c>
      <c r="B28" s="13" t="s">
        <v>49</v>
      </c>
      <c r="C28" s="14">
        <v>1.55</v>
      </c>
      <c r="D28" s="13"/>
      <c r="E28" s="13">
        <f t="shared" si="2"/>
        <v>0</v>
      </c>
      <c r="F28" s="13">
        <f t="shared" si="0"/>
        <v>0</v>
      </c>
    </row>
    <row r="29" spans="1:6" hidden="1">
      <c r="A29" s="13" t="s">
        <v>32</v>
      </c>
      <c r="B29" s="13" t="s">
        <v>33</v>
      </c>
      <c r="C29" s="14">
        <v>1.55</v>
      </c>
      <c r="D29" s="13"/>
      <c r="E29" s="13">
        <f t="shared" si="2"/>
        <v>0</v>
      </c>
      <c r="F29" s="13">
        <f t="shared" si="0"/>
        <v>0</v>
      </c>
    </row>
    <row r="30" spans="1:6" hidden="1">
      <c r="A30" s="13" t="s">
        <v>30</v>
      </c>
      <c r="B30" s="13" t="s">
        <v>31</v>
      </c>
      <c r="C30" s="14">
        <v>1.55</v>
      </c>
      <c r="D30" s="13"/>
      <c r="E30" s="13">
        <f t="shared" si="2"/>
        <v>0</v>
      </c>
      <c r="F30" s="13">
        <f t="shared" si="0"/>
        <v>0</v>
      </c>
    </row>
    <row r="31" spans="1:6" hidden="1">
      <c r="A31" s="13" t="s">
        <v>34</v>
      </c>
      <c r="B31" s="13" t="s">
        <v>35</v>
      </c>
      <c r="C31" s="14">
        <v>1.55</v>
      </c>
      <c r="D31" s="13"/>
      <c r="E31" s="13">
        <f t="shared" si="2"/>
        <v>0</v>
      </c>
      <c r="F31" s="13">
        <f t="shared" si="0"/>
        <v>0</v>
      </c>
    </row>
    <row r="32" spans="1:6" hidden="1">
      <c r="A32" s="13" t="s">
        <v>28</v>
      </c>
      <c r="B32" s="13" t="s">
        <v>29</v>
      </c>
      <c r="C32" s="14">
        <v>7.65</v>
      </c>
      <c r="D32" s="13"/>
      <c r="E32" s="13">
        <f t="shared" si="2"/>
        <v>0</v>
      </c>
      <c r="F32" s="13">
        <f t="shared" si="0"/>
        <v>0</v>
      </c>
    </row>
    <row r="33" spans="1:6" hidden="1">
      <c r="A33" s="13" t="s">
        <v>14</v>
      </c>
      <c r="B33" s="13" t="s">
        <v>15</v>
      </c>
      <c r="C33" s="14">
        <v>1.55</v>
      </c>
      <c r="D33" s="13"/>
      <c r="E33" s="13">
        <f t="shared" si="2"/>
        <v>0</v>
      </c>
      <c r="F33" s="13">
        <f t="shared" si="0"/>
        <v>0</v>
      </c>
    </row>
    <row r="34" spans="1:6" hidden="1">
      <c r="A34" s="13" t="s">
        <v>12</v>
      </c>
      <c r="B34" s="13" t="s">
        <v>13</v>
      </c>
      <c r="C34" s="14">
        <v>1.55</v>
      </c>
      <c r="D34" s="13"/>
      <c r="E34" s="13">
        <f t="shared" si="2"/>
        <v>0</v>
      </c>
      <c r="F34" s="13">
        <f t="shared" ref="F34:F65" si="3">E34*C34</f>
        <v>0</v>
      </c>
    </row>
    <row r="35" spans="1:6" hidden="1">
      <c r="A35" s="13" t="s">
        <v>16</v>
      </c>
      <c r="B35" s="13" t="s">
        <v>17</v>
      </c>
      <c r="C35" s="14">
        <v>1.55</v>
      </c>
      <c r="D35" s="13"/>
      <c r="E35" s="13">
        <f t="shared" si="2"/>
        <v>0</v>
      </c>
      <c r="F35" s="13">
        <f t="shared" si="3"/>
        <v>0</v>
      </c>
    </row>
    <row r="36" spans="1:6" hidden="1">
      <c r="A36" s="13" t="s">
        <v>10</v>
      </c>
      <c r="B36" s="13" t="s">
        <v>11</v>
      </c>
      <c r="C36" s="14">
        <v>1.55</v>
      </c>
      <c r="D36" s="13"/>
      <c r="E36" s="13">
        <f t="shared" si="2"/>
        <v>0</v>
      </c>
      <c r="F36" s="13">
        <f t="shared" si="3"/>
        <v>0</v>
      </c>
    </row>
    <row r="37" spans="1:6" hidden="1">
      <c r="A37" s="13" t="s">
        <v>130</v>
      </c>
      <c r="B37" s="13" t="s">
        <v>131</v>
      </c>
      <c r="C37" s="14">
        <v>2.75</v>
      </c>
      <c r="D37" s="13"/>
      <c r="E37" s="13">
        <f t="shared" si="2"/>
        <v>0</v>
      </c>
      <c r="F37" s="13">
        <f t="shared" si="3"/>
        <v>0</v>
      </c>
    </row>
    <row r="38" spans="1:6" hidden="1">
      <c r="A38" s="13" t="s">
        <v>132</v>
      </c>
      <c r="B38" s="13" t="s">
        <v>133</v>
      </c>
      <c r="C38" s="14">
        <v>2.75</v>
      </c>
      <c r="D38" s="13"/>
      <c r="E38" s="13">
        <f t="shared" si="2"/>
        <v>0</v>
      </c>
      <c r="F38" s="13">
        <f t="shared" si="3"/>
        <v>0</v>
      </c>
    </row>
    <row r="39" spans="1:6" hidden="1">
      <c r="A39" s="13" t="s">
        <v>128</v>
      </c>
      <c r="B39" s="13" t="s">
        <v>129</v>
      </c>
      <c r="C39" s="14">
        <v>2.75</v>
      </c>
      <c r="D39" s="13"/>
      <c r="E39" s="13">
        <f t="shared" si="2"/>
        <v>0</v>
      </c>
      <c r="F39" s="13">
        <f t="shared" si="3"/>
        <v>0</v>
      </c>
    </row>
    <row r="40" spans="1:6">
      <c r="A40" s="13" t="s">
        <v>110</v>
      </c>
      <c r="B40" s="13" t="s">
        <v>111</v>
      </c>
      <c r="C40" s="14">
        <f>VLOOKUP(A40,თვითღირებულება!A:X,24,0)</f>
        <v>3</v>
      </c>
      <c r="D40" s="13">
        <v>5</v>
      </c>
      <c r="E40" s="33">
        <f t="shared" si="2"/>
        <v>5</v>
      </c>
      <c r="F40" s="14">
        <f t="shared" si="3"/>
        <v>15</v>
      </c>
    </row>
    <row r="41" spans="1:6">
      <c r="A41" s="13" t="s">
        <v>108</v>
      </c>
      <c r="B41" s="13" t="s">
        <v>109</v>
      </c>
      <c r="C41" s="14">
        <f>VLOOKUP(A41,თვითღირებულება!A:X,24,0)</f>
        <v>3</v>
      </c>
      <c r="D41" s="13">
        <v>5</v>
      </c>
      <c r="E41" s="33">
        <f t="shared" si="2"/>
        <v>5</v>
      </c>
      <c r="F41" s="14">
        <f t="shared" si="3"/>
        <v>15</v>
      </c>
    </row>
    <row r="42" spans="1:6" hidden="1">
      <c r="A42" s="13" t="s">
        <v>112</v>
      </c>
      <c r="B42" s="13" t="s">
        <v>113</v>
      </c>
      <c r="C42" s="14">
        <v>3</v>
      </c>
      <c r="D42" s="13"/>
      <c r="E42" s="13">
        <f t="shared" si="2"/>
        <v>0</v>
      </c>
      <c r="F42" s="13">
        <f t="shared" si="3"/>
        <v>0</v>
      </c>
    </row>
    <row r="43" spans="1:6">
      <c r="A43" s="13" t="s">
        <v>106</v>
      </c>
      <c r="B43" s="13" t="s">
        <v>107</v>
      </c>
      <c r="C43" s="14">
        <f>VLOOKUP(A43,თვითღირებულება!A:X,24,0)</f>
        <v>3</v>
      </c>
      <c r="D43" s="13">
        <v>5</v>
      </c>
      <c r="E43" s="33">
        <f t="shared" si="2"/>
        <v>5</v>
      </c>
      <c r="F43" s="14">
        <f t="shared" si="3"/>
        <v>15</v>
      </c>
    </row>
    <row r="44" spans="1:6" hidden="1">
      <c r="A44" s="13" t="s">
        <v>201</v>
      </c>
      <c r="B44" s="13" t="s">
        <v>202</v>
      </c>
      <c r="C44" s="14">
        <v>25</v>
      </c>
      <c r="D44" s="13"/>
      <c r="E44" s="13">
        <f t="shared" si="2"/>
        <v>0</v>
      </c>
      <c r="F44" s="13">
        <f t="shared" si="3"/>
        <v>0</v>
      </c>
    </row>
    <row r="45" spans="1:6" hidden="1">
      <c r="A45" s="13" t="s">
        <v>207</v>
      </c>
      <c r="B45" s="13" t="s">
        <v>208</v>
      </c>
      <c r="C45" s="14">
        <v>25</v>
      </c>
      <c r="D45" s="13"/>
      <c r="E45" s="13">
        <f t="shared" si="2"/>
        <v>0</v>
      </c>
      <c r="F45" s="13">
        <f t="shared" si="3"/>
        <v>0</v>
      </c>
    </row>
    <row r="46" spans="1:6" hidden="1">
      <c r="A46" s="13" t="s">
        <v>205</v>
      </c>
      <c r="B46" s="13" t="s">
        <v>206</v>
      </c>
      <c r="C46" s="14">
        <v>25</v>
      </c>
      <c r="D46" s="13"/>
      <c r="E46" s="13">
        <f t="shared" si="2"/>
        <v>0</v>
      </c>
      <c r="F46" s="13">
        <f t="shared" si="3"/>
        <v>0</v>
      </c>
    </row>
    <row r="47" spans="1:6" hidden="1">
      <c r="A47" s="13" t="s">
        <v>76</v>
      </c>
      <c r="B47" s="13" t="s">
        <v>77</v>
      </c>
      <c r="C47" s="14">
        <v>0.8</v>
      </c>
      <c r="D47" s="13"/>
      <c r="E47" s="13">
        <f t="shared" si="2"/>
        <v>0</v>
      </c>
      <c r="F47" s="13">
        <f t="shared" si="3"/>
        <v>0</v>
      </c>
    </row>
    <row r="48" spans="1:6" hidden="1">
      <c r="A48" s="13" t="s">
        <v>80</v>
      </c>
      <c r="B48" s="13" t="s">
        <v>81</v>
      </c>
      <c r="C48" s="14">
        <v>0.8</v>
      </c>
      <c r="D48" s="13"/>
      <c r="E48" s="13">
        <f t="shared" si="2"/>
        <v>0</v>
      </c>
      <c r="F48" s="13">
        <f t="shared" si="3"/>
        <v>0</v>
      </c>
    </row>
    <row r="49" spans="1:6" hidden="1">
      <c r="A49" s="13" t="s">
        <v>78</v>
      </c>
      <c r="B49" s="13" t="s">
        <v>79</v>
      </c>
      <c r="C49" s="14">
        <v>0.8</v>
      </c>
      <c r="D49" s="13"/>
      <c r="E49" s="13">
        <f t="shared" si="2"/>
        <v>0</v>
      </c>
      <c r="F49" s="13">
        <f t="shared" si="3"/>
        <v>0</v>
      </c>
    </row>
    <row r="50" spans="1:6" hidden="1">
      <c r="A50" s="13" t="s">
        <v>74</v>
      </c>
      <c r="B50" s="13" t="s">
        <v>75</v>
      </c>
      <c r="C50" s="14">
        <v>0.8</v>
      </c>
      <c r="D50" s="13"/>
      <c r="E50" s="13">
        <f t="shared" si="2"/>
        <v>0</v>
      </c>
      <c r="F50" s="13">
        <f t="shared" si="3"/>
        <v>0</v>
      </c>
    </row>
    <row r="51" spans="1:6" hidden="1">
      <c r="A51" s="13" t="s">
        <v>82</v>
      </c>
      <c r="B51" s="13" t="s">
        <v>83</v>
      </c>
      <c r="C51" s="14">
        <v>0.8</v>
      </c>
      <c r="D51" s="13"/>
      <c r="E51" s="13">
        <f t="shared" si="2"/>
        <v>0</v>
      </c>
      <c r="F51" s="13">
        <f t="shared" si="3"/>
        <v>0</v>
      </c>
    </row>
    <row r="52" spans="1:6" hidden="1">
      <c r="A52" s="13">
        <v>94</v>
      </c>
      <c r="B52" s="13" t="s">
        <v>277</v>
      </c>
      <c r="C52" s="14">
        <v>2.75</v>
      </c>
      <c r="D52" s="13"/>
      <c r="E52" s="13">
        <f t="shared" si="2"/>
        <v>0</v>
      </c>
      <c r="F52" s="13">
        <f t="shared" si="3"/>
        <v>0</v>
      </c>
    </row>
    <row r="53" spans="1:6" hidden="1">
      <c r="A53" s="13" t="s">
        <v>72</v>
      </c>
      <c r="B53" s="13" t="s">
        <v>73</v>
      </c>
      <c r="C53" s="14">
        <v>13</v>
      </c>
      <c r="D53" s="13"/>
      <c r="E53" s="13">
        <f t="shared" si="2"/>
        <v>0</v>
      </c>
      <c r="F53" s="13">
        <f t="shared" si="3"/>
        <v>0</v>
      </c>
    </row>
    <row r="54" spans="1:6" hidden="1">
      <c r="A54" s="13" t="s">
        <v>24</v>
      </c>
      <c r="B54" s="13" t="s">
        <v>25</v>
      </c>
      <c r="C54" s="14">
        <v>1.85</v>
      </c>
      <c r="D54" s="13"/>
      <c r="E54" s="13">
        <f t="shared" si="2"/>
        <v>0</v>
      </c>
      <c r="F54" s="13">
        <f t="shared" si="3"/>
        <v>0</v>
      </c>
    </row>
    <row r="55" spans="1:6">
      <c r="A55" s="13" t="s">
        <v>20</v>
      </c>
      <c r="B55" s="13" t="s">
        <v>21</v>
      </c>
      <c r="C55" s="14">
        <f>VLOOKUP(A55,თვითღირებულება!A:X,24,0)</f>
        <v>6.3</v>
      </c>
      <c r="D55" s="13">
        <v>5</v>
      </c>
      <c r="E55" s="33">
        <f t="shared" si="2"/>
        <v>5</v>
      </c>
      <c r="F55" s="14">
        <f t="shared" si="3"/>
        <v>31.5</v>
      </c>
    </row>
    <row r="56" spans="1:6" hidden="1">
      <c r="A56" s="13" t="s">
        <v>118</v>
      </c>
      <c r="B56" s="13" t="s">
        <v>119</v>
      </c>
      <c r="C56" s="14">
        <v>6.5</v>
      </c>
      <c r="D56" s="13"/>
      <c r="E56" s="13">
        <f t="shared" si="2"/>
        <v>0</v>
      </c>
      <c r="F56" s="13">
        <f t="shared" si="3"/>
        <v>0</v>
      </c>
    </row>
    <row r="57" spans="1:6" hidden="1">
      <c r="A57" s="13" t="s">
        <v>88</v>
      </c>
      <c r="B57" s="13" t="s">
        <v>89</v>
      </c>
      <c r="C57" s="14">
        <v>2.4</v>
      </c>
      <c r="D57" s="13"/>
      <c r="E57" s="13">
        <f t="shared" ref="E57:E88" si="4">SUM(D57:D57)</f>
        <v>0</v>
      </c>
      <c r="F57" s="13">
        <f t="shared" si="3"/>
        <v>0</v>
      </c>
    </row>
    <row r="58" spans="1:6" hidden="1">
      <c r="A58" s="13" t="s">
        <v>86</v>
      </c>
      <c r="B58" s="13" t="s">
        <v>87</v>
      </c>
      <c r="C58" s="14">
        <v>2.4</v>
      </c>
      <c r="D58" s="13"/>
      <c r="E58" s="13">
        <f t="shared" si="4"/>
        <v>0</v>
      </c>
      <c r="F58" s="13">
        <f t="shared" si="3"/>
        <v>0</v>
      </c>
    </row>
    <row r="59" spans="1:6" hidden="1">
      <c r="A59" s="13" t="s">
        <v>90</v>
      </c>
      <c r="B59" s="13" t="s">
        <v>91</v>
      </c>
      <c r="C59" s="14">
        <v>2.4</v>
      </c>
      <c r="D59" s="13"/>
      <c r="E59" s="13">
        <f t="shared" si="4"/>
        <v>0</v>
      </c>
      <c r="F59" s="13">
        <f t="shared" si="3"/>
        <v>0</v>
      </c>
    </row>
    <row r="60" spans="1:6" hidden="1">
      <c r="A60" s="13" t="s">
        <v>84</v>
      </c>
      <c r="B60" s="13" t="s">
        <v>85</v>
      </c>
      <c r="C60" s="14">
        <v>2.4</v>
      </c>
      <c r="D60" s="13"/>
      <c r="E60" s="13">
        <f t="shared" si="4"/>
        <v>0</v>
      </c>
      <c r="F60" s="13">
        <f t="shared" si="3"/>
        <v>0</v>
      </c>
    </row>
    <row r="61" spans="1:6" hidden="1">
      <c r="A61" s="13" t="s">
        <v>68</v>
      </c>
      <c r="B61" s="13" t="s">
        <v>69</v>
      </c>
      <c r="C61" s="14">
        <v>2.65</v>
      </c>
      <c r="D61" s="13"/>
      <c r="E61" s="13">
        <f t="shared" si="4"/>
        <v>0</v>
      </c>
      <c r="F61" s="13">
        <f t="shared" si="3"/>
        <v>0</v>
      </c>
    </row>
    <row r="62" spans="1:6" hidden="1">
      <c r="A62" s="13" t="s">
        <v>70</v>
      </c>
      <c r="B62" s="13" t="s">
        <v>71</v>
      </c>
      <c r="C62" s="14">
        <v>2.65</v>
      </c>
      <c r="D62" s="13"/>
      <c r="E62" s="13">
        <f t="shared" si="4"/>
        <v>0</v>
      </c>
      <c r="F62" s="13">
        <f t="shared" si="3"/>
        <v>0</v>
      </c>
    </row>
    <row r="63" spans="1:6" hidden="1">
      <c r="A63" s="13" t="s">
        <v>64</v>
      </c>
      <c r="B63" s="13" t="s">
        <v>65</v>
      </c>
      <c r="C63" s="14">
        <v>2.65</v>
      </c>
      <c r="D63" s="13"/>
      <c r="E63" s="13">
        <f t="shared" si="4"/>
        <v>0</v>
      </c>
      <c r="F63" s="13">
        <f t="shared" si="3"/>
        <v>0</v>
      </c>
    </row>
    <row r="64" spans="1:6" hidden="1">
      <c r="A64" s="13" t="s">
        <v>66</v>
      </c>
      <c r="B64" s="13" t="s">
        <v>67</v>
      </c>
      <c r="C64" s="14">
        <v>2.65</v>
      </c>
      <c r="D64" s="13"/>
      <c r="E64" s="13">
        <f t="shared" si="4"/>
        <v>0</v>
      </c>
      <c r="F64" s="13">
        <f t="shared" si="3"/>
        <v>0</v>
      </c>
    </row>
    <row r="65" spans="1:6">
      <c r="A65" s="13" t="s">
        <v>18</v>
      </c>
      <c r="B65" s="13" t="s">
        <v>19</v>
      </c>
      <c r="C65" s="14">
        <f>VLOOKUP(A65,თვითღირებულება!A:X,24,0)</f>
        <v>1.7</v>
      </c>
      <c r="D65" s="13">
        <v>20</v>
      </c>
      <c r="E65" s="33">
        <f t="shared" si="4"/>
        <v>20</v>
      </c>
      <c r="F65" s="14">
        <f t="shared" si="3"/>
        <v>34</v>
      </c>
    </row>
    <row r="66" spans="1:6" hidden="1">
      <c r="A66" s="13" t="s">
        <v>100</v>
      </c>
      <c r="B66" s="13" t="s">
        <v>101</v>
      </c>
      <c r="C66" s="14">
        <v>1.8</v>
      </c>
      <c r="D66" s="13"/>
      <c r="E66" s="13">
        <f t="shared" si="4"/>
        <v>0</v>
      </c>
      <c r="F66" s="13">
        <f t="shared" ref="F66:F97" si="5">E66*C66</f>
        <v>0</v>
      </c>
    </row>
    <row r="67" spans="1:6" hidden="1">
      <c r="A67" s="13" t="s">
        <v>8</v>
      </c>
      <c r="B67" s="13" t="s">
        <v>9</v>
      </c>
      <c r="C67" s="14">
        <v>1.8</v>
      </c>
      <c r="D67" s="13"/>
      <c r="E67" s="13">
        <f t="shared" si="4"/>
        <v>0</v>
      </c>
      <c r="F67" s="13">
        <f t="shared" si="5"/>
        <v>0</v>
      </c>
    </row>
    <row r="68" spans="1:6" hidden="1">
      <c r="A68" s="13" t="s">
        <v>102</v>
      </c>
      <c r="B68" s="13" t="s">
        <v>103</v>
      </c>
      <c r="C68" s="14">
        <v>1.8</v>
      </c>
      <c r="D68" s="13"/>
      <c r="E68" s="13">
        <f t="shared" si="4"/>
        <v>0</v>
      </c>
      <c r="F68" s="13">
        <f t="shared" si="5"/>
        <v>0</v>
      </c>
    </row>
    <row r="69" spans="1:6" hidden="1">
      <c r="A69" s="13" t="s">
        <v>104</v>
      </c>
      <c r="B69" s="13" t="s">
        <v>105</v>
      </c>
      <c r="C69" s="14">
        <v>1.8</v>
      </c>
      <c r="D69" s="13"/>
      <c r="E69" s="13">
        <f t="shared" si="4"/>
        <v>0</v>
      </c>
      <c r="F69" s="13">
        <f t="shared" si="5"/>
        <v>0</v>
      </c>
    </row>
    <row r="70" spans="1:6">
      <c r="A70" s="13" t="s">
        <v>6</v>
      </c>
      <c r="B70" s="13" t="s">
        <v>7</v>
      </c>
      <c r="C70" s="14">
        <f>VLOOKUP(A70,თვითღირებულება!A:X,24,0)</f>
        <v>40</v>
      </c>
      <c r="D70" s="13">
        <v>6</v>
      </c>
      <c r="E70" s="33">
        <f t="shared" si="4"/>
        <v>6</v>
      </c>
      <c r="F70" s="14">
        <f t="shared" si="5"/>
        <v>240</v>
      </c>
    </row>
    <row r="71" spans="1:6" hidden="1">
      <c r="A71" s="13" t="s">
        <v>179</v>
      </c>
      <c r="B71" s="13" t="s">
        <v>180</v>
      </c>
      <c r="C71" s="14">
        <v>35</v>
      </c>
      <c r="D71" s="13"/>
      <c r="E71" s="13">
        <f t="shared" si="4"/>
        <v>0</v>
      </c>
      <c r="F71" s="13">
        <f t="shared" si="5"/>
        <v>0</v>
      </c>
    </row>
    <row r="72" spans="1:6" hidden="1">
      <c r="A72" s="13" t="s">
        <v>193</v>
      </c>
      <c r="B72" s="13" t="s">
        <v>194</v>
      </c>
      <c r="C72" s="14">
        <v>35</v>
      </c>
      <c r="D72" s="13"/>
      <c r="E72" s="13">
        <f t="shared" si="4"/>
        <v>0</v>
      </c>
      <c r="F72" s="13">
        <f t="shared" si="5"/>
        <v>0</v>
      </c>
    </row>
    <row r="73" spans="1:6" hidden="1">
      <c r="A73" s="13" t="s">
        <v>189</v>
      </c>
      <c r="B73" s="13" t="s">
        <v>190</v>
      </c>
      <c r="C73" s="14">
        <v>35</v>
      </c>
      <c r="D73" s="13"/>
      <c r="E73" s="13">
        <f t="shared" si="4"/>
        <v>0</v>
      </c>
      <c r="F73" s="13">
        <f t="shared" si="5"/>
        <v>0</v>
      </c>
    </row>
    <row r="74" spans="1:6" hidden="1">
      <c r="A74" s="13" t="s">
        <v>173</v>
      </c>
      <c r="B74" s="13" t="s">
        <v>174</v>
      </c>
      <c r="C74" s="14">
        <v>35</v>
      </c>
      <c r="D74" s="13"/>
      <c r="E74" s="13">
        <f t="shared" si="4"/>
        <v>0</v>
      </c>
      <c r="F74" s="13">
        <f t="shared" si="5"/>
        <v>0</v>
      </c>
    </row>
    <row r="75" spans="1:6" hidden="1">
      <c r="A75" s="13" t="s">
        <v>197</v>
      </c>
      <c r="B75" s="13" t="s">
        <v>198</v>
      </c>
      <c r="C75" s="14">
        <v>35</v>
      </c>
      <c r="D75" s="13"/>
      <c r="E75" s="13">
        <f t="shared" si="4"/>
        <v>0</v>
      </c>
      <c r="F75" s="13">
        <f t="shared" si="5"/>
        <v>0</v>
      </c>
    </row>
    <row r="76" spans="1:6" hidden="1">
      <c r="A76" s="13" t="s">
        <v>185</v>
      </c>
      <c r="B76" s="13" t="s">
        <v>186</v>
      </c>
      <c r="C76" s="14">
        <v>35</v>
      </c>
      <c r="D76" s="13"/>
      <c r="E76" s="13">
        <f t="shared" si="4"/>
        <v>0</v>
      </c>
      <c r="F76" s="13">
        <f t="shared" si="5"/>
        <v>0</v>
      </c>
    </row>
    <row r="77" spans="1:6" hidden="1">
      <c r="A77" s="13" t="s">
        <v>177</v>
      </c>
      <c r="B77" s="13" t="s">
        <v>178</v>
      </c>
      <c r="C77" s="14">
        <v>32</v>
      </c>
      <c r="D77" s="13"/>
      <c r="E77" s="13">
        <f t="shared" si="4"/>
        <v>0</v>
      </c>
      <c r="F77" s="13">
        <f t="shared" si="5"/>
        <v>0</v>
      </c>
    </row>
    <row r="78" spans="1:6" hidden="1">
      <c r="A78" s="13" t="s">
        <v>191</v>
      </c>
      <c r="B78" s="13" t="s">
        <v>192</v>
      </c>
      <c r="C78" s="14">
        <v>32</v>
      </c>
      <c r="D78" s="13"/>
      <c r="E78" s="13">
        <f t="shared" si="4"/>
        <v>0</v>
      </c>
      <c r="F78" s="13">
        <f t="shared" si="5"/>
        <v>0</v>
      </c>
    </row>
    <row r="79" spans="1:6" hidden="1">
      <c r="A79" s="13" t="s">
        <v>187</v>
      </c>
      <c r="B79" s="13" t="s">
        <v>188</v>
      </c>
      <c r="C79" s="14">
        <v>32</v>
      </c>
      <c r="D79" s="13"/>
      <c r="E79" s="13">
        <f t="shared" si="4"/>
        <v>0</v>
      </c>
      <c r="F79" s="13">
        <f t="shared" si="5"/>
        <v>0</v>
      </c>
    </row>
    <row r="80" spans="1:6" hidden="1">
      <c r="A80" s="13" t="s">
        <v>171</v>
      </c>
      <c r="B80" s="13" t="s">
        <v>172</v>
      </c>
      <c r="C80" s="14">
        <v>32</v>
      </c>
      <c r="D80" s="13"/>
      <c r="E80" s="13">
        <f t="shared" si="4"/>
        <v>0</v>
      </c>
      <c r="F80" s="13">
        <f t="shared" si="5"/>
        <v>0</v>
      </c>
    </row>
    <row r="81" spans="1:6" hidden="1">
      <c r="A81" s="13" t="s">
        <v>195</v>
      </c>
      <c r="B81" s="13" t="s">
        <v>196</v>
      </c>
      <c r="C81" s="14">
        <v>32</v>
      </c>
      <c r="D81" s="13"/>
      <c r="E81" s="13">
        <f t="shared" si="4"/>
        <v>0</v>
      </c>
      <c r="F81" s="13">
        <f t="shared" si="5"/>
        <v>0</v>
      </c>
    </row>
    <row r="82" spans="1:6" hidden="1">
      <c r="A82" s="13" t="s">
        <v>181</v>
      </c>
      <c r="B82" s="13" t="s">
        <v>182</v>
      </c>
      <c r="C82" s="14">
        <v>32</v>
      </c>
      <c r="D82" s="13"/>
      <c r="E82" s="13">
        <f t="shared" si="4"/>
        <v>0</v>
      </c>
      <c r="F82" s="13">
        <f t="shared" si="5"/>
        <v>0</v>
      </c>
    </row>
    <row r="83" spans="1:6" hidden="1">
      <c r="A83" s="13" t="s">
        <v>175</v>
      </c>
      <c r="B83" s="13" t="s">
        <v>176</v>
      </c>
      <c r="C83" s="14">
        <v>25</v>
      </c>
      <c r="D83" s="13"/>
      <c r="E83" s="13">
        <f t="shared" si="4"/>
        <v>0</v>
      </c>
      <c r="F83" s="13">
        <f t="shared" si="5"/>
        <v>0</v>
      </c>
    </row>
    <row r="84" spans="1:6" hidden="1">
      <c r="A84" s="13" t="s">
        <v>183</v>
      </c>
      <c r="B84" s="13" t="s">
        <v>184</v>
      </c>
      <c r="C84" s="14">
        <v>25</v>
      </c>
      <c r="D84" s="13"/>
      <c r="E84" s="13">
        <f t="shared" si="4"/>
        <v>0</v>
      </c>
      <c r="F84" s="13">
        <f t="shared" si="5"/>
        <v>0</v>
      </c>
    </row>
    <row r="85" spans="1:6" hidden="1">
      <c r="A85" s="13" t="s">
        <v>149</v>
      </c>
      <c r="B85" s="13" t="s">
        <v>150</v>
      </c>
      <c r="C85" s="14">
        <v>37</v>
      </c>
      <c r="D85" s="13"/>
      <c r="E85" s="13">
        <f t="shared" si="4"/>
        <v>0</v>
      </c>
      <c r="F85" s="13">
        <f t="shared" si="5"/>
        <v>0</v>
      </c>
    </row>
    <row r="86" spans="1:6" hidden="1">
      <c r="A86" s="13" t="s">
        <v>167</v>
      </c>
      <c r="B86" s="13" t="s">
        <v>168</v>
      </c>
      <c r="C86" s="14">
        <v>37</v>
      </c>
      <c r="D86" s="13"/>
      <c r="E86" s="13">
        <f t="shared" si="4"/>
        <v>0</v>
      </c>
      <c r="F86" s="13">
        <f t="shared" si="5"/>
        <v>0</v>
      </c>
    </row>
    <row r="87" spans="1:6" hidden="1">
      <c r="A87" s="13" t="s">
        <v>161</v>
      </c>
      <c r="B87" s="13" t="s">
        <v>162</v>
      </c>
      <c r="C87" s="14">
        <v>37</v>
      </c>
      <c r="D87" s="13"/>
      <c r="E87" s="13">
        <f t="shared" si="4"/>
        <v>0</v>
      </c>
      <c r="F87" s="13">
        <f t="shared" si="5"/>
        <v>0</v>
      </c>
    </row>
    <row r="88" spans="1:6" hidden="1">
      <c r="A88" s="13" t="s">
        <v>157</v>
      </c>
      <c r="B88" s="13" t="s">
        <v>158</v>
      </c>
      <c r="C88" s="14">
        <v>37</v>
      </c>
      <c r="D88" s="13"/>
      <c r="E88" s="13">
        <f t="shared" si="4"/>
        <v>0</v>
      </c>
      <c r="F88" s="13">
        <f t="shared" si="5"/>
        <v>0</v>
      </c>
    </row>
    <row r="89" spans="1:6" hidden="1">
      <c r="A89" s="13" t="s">
        <v>143</v>
      </c>
      <c r="B89" s="13" t="s">
        <v>144</v>
      </c>
      <c r="C89" s="14">
        <v>37</v>
      </c>
      <c r="D89" s="13"/>
      <c r="E89" s="13">
        <f t="shared" ref="E89:E107" si="6">SUM(D89:D89)</f>
        <v>0</v>
      </c>
      <c r="F89" s="13">
        <f t="shared" si="5"/>
        <v>0</v>
      </c>
    </row>
    <row r="90" spans="1:6" hidden="1">
      <c r="A90" s="13" t="s">
        <v>153</v>
      </c>
      <c r="B90" s="13" t="s">
        <v>154</v>
      </c>
      <c r="C90" s="14">
        <v>37</v>
      </c>
      <c r="D90" s="13"/>
      <c r="E90" s="13">
        <f t="shared" si="6"/>
        <v>0</v>
      </c>
      <c r="F90" s="13">
        <f t="shared" si="5"/>
        <v>0</v>
      </c>
    </row>
    <row r="91" spans="1:6" hidden="1">
      <c r="A91" s="13" t="s">
        <v>199</v>
      </c>
      <c r="B91" s="13" t="s">
        <v>200</v>
      </c>
      <c r="C91" s="14">
        <v>15</v>
      </c>
      <c r="D91" s="13"/>
      <c r="E91" s="13">
        <f t="shared" si="6"/>
        <v>0</v>
      </c>
      <c r="F91" s="13">
        <f t="shared" si="5"/>
        <v>0</v>
      </c>
    </row>
    <row r="92" spans="1:6" hidden="1">
      <c r="A92" s="13" t="s">
        <v>211</v>
      </c>
      <c r="B92" s="13" t="s">
        <v>212</v>
      </c>
      <c r="C92" s="14">
        <v>15</v>
      </c>
      <c r="D92" s="13"/>
      <c r="E92" s="13">
        <f t="shared" si="6"/>
        <v>0</v>
      </c>
      <c r="F92" s="13">
        <f t="shared" si="5"/>
        <v>0</v>
      </c>
    </row>
    <row r="93" spans="1:6" hidden="1">
      <c r="A93" s="13" t="s">
        <v>3</v>
      </c>
      <c r="B93" s="13" t="s">
        <v>4</v>
      </c>
      <c r="C93" s="14">
        <v>15</v>
      </c>
      <c r="D93" s="13"/>
      <c r="E93" s="13">
        <f t="shared" si="6"/>
        <v>0</v>
      </c>
      <c r="F93" s="13">
        <f t="shared" si="5"/>
        <v>0</v>
      </c>
    </row>
    <row r="94" spans="1:6" hidden="1">
      <c r="A94" s="13" t="s">
        <v>151</v>
      </c>
      <c r="B94" s="13" t="s">
        <v>152</v>
      </c>
      <c r="C94" s="14">
        <v>40</v>
      </c>
      <c r="D94" s="13"/>
      <c r="E94" s="13">
        <f t="shared" si="6"/>
        <v>0</v>
      </c>
      <c r="F94" s="13">
        <f t="shared" si="5"/>
        <v>0</v>
      </c>
    </row>
    <row r="95" spans="1:6" hidden="1">
      <c r="A95" s="13" t="s">
        <v>169</v>
      </c>
      <c r="B95" s="13" t="s">
        <v>170</v>
      </c>
      <c r="C95" s="14">
        <v>40</v>
      </c>
      <c r="D95" s="13"/>
      <c r="E95" s="13">
        <f t="shared" si="6"/>
        <v>0</v>
      </c>
      <c r="F95" s="13">
        <f t="shared" si="5"/>
        <v>0</v>
      </c>
    </row>
    <row r="96" spans="1:6" hidden="1">
      <c r="A96" s="13" t="s">
        <v>163</v>
      </c>
      <c r="B96" s="13" t="s">
        <v>164</v>
      </c>
      <c r="C96" s="14">
        <v>40</v>
      </c>
      <c r="D96" s="13"/>
      <c r="E96" s="13">
        <f t="shared" si="6"/>
        <v>0</v>
      </c>
      <c r="F96" s="13">
        <f t="shared" si="5"/>
        <v>0</v>
      </c>
    </row>
    <row r="97" spans="1:6" hidden="1">
      <c r="A97" s="13" t="s">
        <v>145</v>
      </c>
      <c r="B97" s="13" t="s">
        <v>146</v>
      </c>
      <c r="C97" s="14">
        <v>40</v>
      </c>
      <c r="D97" s="13"/>
      <c r="E97" s="13">
        <f t="shared" si="6"/>
        <v>0</v>
      </c>
      <c r="F97" s="13">
        <f t="shared" si="5"/>
        <v>0</v>
      </c>
    </row>
    <row r="98" spans="1:6" hidden="1">
      <c r="A98" s="13" t="s">
        <v>155</v>
      </c>
      <c r="B98" s="13" t="s">
        <v>156</v>
      </c>
      <c r="C98" s="14">
        <v>32</v>
      </c>
      <c r="D98" s="13"/>
      <c r="E98" s="13">
        <f t="shared" si="6"/>
        <v>0</v>
      </c>
      <c r="F98" s="13">
        <f t="shared" ref="F98:F107" si="7">E98*C98</f>
        <v>0</v>
      </c>
    </row>
    <row r="99" spans="1:6" hidden="1">
      <c r="A99" s="13" t="s">
        <v>147</v>
      </c>
      <c r="B99" s="13" t="s">
        <v>148</v>
      </c>
      <c r="C99" s="14">
        <v>35</v>
      </c>
      <c r="D99" s="13"/>
      <c r="E99" s="13">
        <f t="shared" si="6"/>
        <v>0</v>
      </c>
      <c r="F99" s="13">
        <f t="shared" si="7"/>
        <v>0</v>
      </c>
    </row>
    <row r="100" spans="1:6" hidden="1">
      <c r="A100" s="13" t="s">
        <v>165</v>
      </c>
      <c r="B100" s="13" t="s">
        <v>166</v>
      </c>
      <c r="C100" s="14">
        <v>35</v>
      </c>
      <c r="D100" s="13"/>
      <c r="E100" s="13">
        <f t="shared" si="6"/>
        <v>0</v>
      </c>
      <c r="F100" s="13">
        <f t="shared" si="7"/>
        <v>0</v>
      </c>
    </row>
    <row r="101" spans="1:6" hidden="1">
      <c r="A101" s="13" t="s">
        <v>159</v>
      </c>
      <c r="B101" s="13" t="s">
        <v>160</v>
      </c>
      <c r="C101" s="14">
        <v>35</v>
      </c>
      <c r="D101" s="13"/>
      <c r="E101" s="13">
        <f t="shared" si="6"/>
        <v>0</v>
      </c>
      <c r="F101" s="13">
        <f t="shared" si="7"/>
        <v>0</v>
      </c>
    </row>
    <row r="102" spans="1:6" hidden="1">
      <c r="A102" s="13" t="s">
        <v>141</v>
      </c>
      <c r="B102" s="13" t="s">
        <v>142</v>
      </c>
      <c r="C102" s="14">
        <v>35</v>
      </c>
      <c r="D102" s="13"/>
      <c r="E102" s="13">
        <f t="shared" si="6"/>
        <v>0</v>
      </c>
      <c r="F102" s="13">
        <f t="shared" si="7"/>
        <v>0</v>
      </c>
    </row>
    <row r="103" spans="1:6" hidden="1">
      <c r="A103" s="13" t="s">
        <v>209</v>
      </c>
      <c r="B103" s="13" t="s">
        <v>210</v>
      </c>
      <c r="C103" s="14">
        <v>15</v>
      </c>
      <c r="D103" s="13"/>
      <c r="E103" s="13">
        <f t="shared" si="6"/>
        <v>0</v>
      </c>
      <c r="F103" s="13">
        <f t="shared" si="7"/>
        <v>0</v>
      </c>
    </row>
    <row r="104" spans="1:6" hidden="1">
      <c r="A104" s="13" t="s">
        <v>137</v>
      </c>
      <c r="B104" s="13" t="s">
        <v>138</v>
      </c>
      <c r="C104" s="14">
        <v>10</v>
      </c>
      <c r="D104" s="13"/>
      <c r="E104" s="13">
        <f t="shared" si="6"/>
        <v>0</v>
      </c>
      <c r="F104" s="13">
        <f t="shared" si="7"/>
        <v>0</v>
      </c>
    </row>
    <row r="105" spans="1:6" hidden="1">
      <c r="A105" s="13" t="s">
        <v>139</v>
      </c>
      <c r="B105" s="13" t="s">
        <v>140</v>
      </c>
      <c r="C105" s="14">
        <v>10</v>
      </c>
      <c r="D105" s="13"/>
      <c r="E105" s="13">
        <f t="shared" si="6"/>
        <v>0</v>
      </c>
      <c r="F105" s="13">
        <f t="shared" si="7"/>
        <v>0</v>
      </c>
    </row>
    <row r="106" spans="1:6" hidden="1">
      <c r="A106" s="13" t="s">
        <v>135</v>
      </c>
      <c r="B106" s="13" t="s">
        <v>136</v>
      </c>
      <c r="C106" s="14">
        <v>2.5</v>
      </c>
      <c r="D106" s="13"/>
      <c r="E106" s="13">
        <f t="shared" si="6"/>
        <v>0</v>
      </c>
      <c r="F106" s="13">
        <f t="shared" si="7"/>
        <v>0</v>
      </c>
    </row>
    <row r="107" spans="1:6" hidden="1">
      <c r="A107" s="13" t="s">
        <v>203</v>
      </c>
      <c r="B107" s="13" t="s">
        <v>204</v>
      </c>
      <c r="C107" s="14">
        <v>2.5</v>
      </c>
      <c r="D107" s="13"/>
      <c r="E107" s="13">
        <f t="shared" si="6"/>
        <v>0</v>
      </c>
      <c r="F107" s="13">
        <f t="shared" si="7"/>
        <v>0</v>
      </c>
    </row>
  </sheetData>
  <autoFilter ref="A1:F107" xr:uid="{00000000-0009-0000-0000-000003000000}">
    <filterColumn colId="4">
      <filters>
        <filter val="10"/>
        <filter val="15"/>
        <filter val="16"/>
        <filter val="20"/>
        <filter val="5"/>
        <filter val="6"/>
      </filters>
    </filterColumn>
  </autoFilter>
  <pageMargins left="6.25E-2" right="0.11458333333333333" top="0.23958333333333334" bottom="0.75" header="0.3" footer="0.3"/>
  <pageSetup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"/>
  <sheetViews>
    <sheetView workbookViewId="0">
      <selection activeCell="I1" sqref="I1"/>
    </sheetView>
  </sheetViews>
  <sheetFormatPr defaultColWidth="19.7109375" defaultRowHeight="15"/>
  <cols>
    <col min="1" max="1" width="6.28515625" bestFit="1" customWidth="1"/>
    <col min="2" max="2" width="46.7109375" bestFit="1" customWidth="1"/>
    <col min="3" max="3" width="18.85546875" bestFit="1" customWidth="1"/>
    <col min="4" max="4" width="13.28515625" bestFit="1" customWidth="1"/>
    <col min="5" max="5" width="11.140625" customWidth="1"/>
    <col min="6" max="6" width="11.28515625" customWidth="1"/>
    <col min="7" max="7" width="15.7109375" bestFit="1" customWidth="1"/>
    <col min="8" max="8" width="17.5703125" bestFit="1" customWidth="1"/>
    <col min="10" max="10" width="11.28515625" customWidth="1"/>
    <col min="11" max="11" width="12.7109375" customWidth="1"/>
    <col min="12" max="12" width="18.85546875" bestFit="1" customWidth="1"/>
    <col min="13" max="13" width="17.5703125" bestFit="1" customWidth="1"/>
    <col min="14" max="14" width="18.85546875" bestFit="1" customWidth="1"/>
    <col min="15" max="15" width="18.5703125" bestFit="1" customWidth="1"/>
    <col min="16" max="17" width="17.7109375" bestFit="1" customWidth="1"/>
    <col min="21" max="21" width="15.42578125" bestFit="1" customWidth="1"/>
    <col min="22" max="24" width="15.42578125" customWidth="1"/>
    <col min="25" max="25" width="9.5703125" bestFit="1" customWidth="1"/>
  </cols>
  <sheetData>
    <row r="1" spans="1:26" ht="45">
      <c r="A1" s="12" t="s">
        <v>263</v>
      </c>
      <c r="B1" s="3" t="s">
        <v>252</v>
      </c>
      <c r="C1" s="3" t="s">
        <v>215</v>
      </c>
      <c r="D1" s="3" t="s">
        <v>254</v>
      </c>
      <c r="E1" s="3" t="s">
        <v>255</v>
      </c>
      <c r="F1" s="3" t="s">
        <v>285</v>
      </c>
      <c r="G1" s="3" t="s">
        <v>256</v>
      </c>
      <c r="H1" s="3" t="s">
        <v>282</v>
      </c>
      <c r="I1" s="3" t="s">
        <v>257</v>
      </c>
      <c r="J1" s="6" t="s">
        <v>5</v>
      </c>
      <c r="K1" s="6" t="s">
        <v>2</v>
      </c>
      <c r="L1" s="2" t="s">
        <v>283</v>
      </c>
      <c r="M1" s="7" t="s">
        <v>247</v>
      </c>
      <c r="N1" s="2" t="s">
        <v>258</v>
      </c>
      <c r="O1" s="7" t="s">
        <v>259</v>
      </c>
      <c r="P1" s="2" t="s">
        <v>260</v>
      </c>
      <c r="Q1" s="7" t="s">
        <v>261</v>
      </c>
      <c r="R1" s="8" t="s">
        <v>284</v>
      </c>
      <c r="S1" s="8" t="s">
        <v>286</v>
      </c>
      <c r="T1" s="8" t="s">
        <v>287</v>
      </c>
      <c r="U1" s="9" t="s">
        <v>289</v>
      </c>
      <c r="V1" s="9" t="s">
        <v>222</v>
      </c>
      <c r="W1" s="9" t="s">
        <v>288</v>
      </c>
      <c r="X1" s="9" t="s">
        <v>249</v>
      </c>
      <c r="Y1" s="10" t="s">
        <v>223</v>
      </c>
    </row>
    <row r="2" spans="1:26" s="11" customFormat="1" ht="25.5" customHeight="1">
      <c r="A2" s="12" t="s">
        <v>201</v>
      </c>
      <c r="B2" s="12" t="str">
        <f>VLOOKUP(A2,თვითღირებულება!A:B,2,0)</f>
        <v xml:space="preserve"> პლასტმასის ანატომიური სავარძელი ლურჯი</v>
      </c>
      <c r="C2" s="12">
        <f>VLOOKUP(A2,თვითღირებულება!A:F,6,0)</f>
        <v>1.8</v>
      </c>
      <c r="D2" s="12">
        <f>VLOOKUP(A2,თვითღირებულება!A:O,15,0)</f>
        <v>0.56000000000000005</v>
      </c>
      <c r="E2" s="12">
        <f>VLOOKUP(A2,თვითღირებულება!A:L,12,0)</f>
        <v>1.27</v>
      </c>
      <c r="F2" s="12">
        <v>7</v>
      </c>
      <c r="G2" s="12">
        <f>F2*E2</f>
        <v>8.89</v>
      </c>
      <c r="H2" s="12">
        <f>VLOOKUP(A2,თვითღირებულება!A:I,9,0)</f>
        <v>1.1499999999999999</v>
      </c>
      <c r="I2" s="12">
        <f>ROUND(H2+G2+D2,2)</f>
        <v>10.6</v>
      </c>
      <c r="J2" s="36">
        <v>9000</v>
      </c>
      <c r="K2" s="36">
        <v>22</v>
      </c>
      <c r="L2" s="12">
        <f>J2*C2/60</f>
        <v>270</v>
      </c>
      <c r="M2" s="12">
        <f>J2*H2</f>
        <v>10350</v>
      </c>
      <c r="N2" s="12">
        <f>L2/8</f>
        <v>33.75</v>
      </c>
      <c r="O2" s="12">
        <f>J2*D2</f>
        <v>5040.0000000000009</v>
      </c>
      <c r="P2" s="12">
        <f>J2*E2</f>
        <v>11430</v>
      </c>
      <c r="Q2" s="12">
        <f>P2*F2</f>
        <v>80010</v>
      </c>
      <c r="R2" s="12">
        <f>Q2+O2+M2</f>
        <v>95400</v>
      </c>
      <c r="S2" s="34">
        <f>(Q2-Q2/1.18)+(M2-M2/1.18)</f>
        <v>13783.728813559324</v>
      </c>
      <c r="T2" s="34">
        <f>R2-S2</f>
        <v>81616.271186440674</v>
      </c>
      <c r="U2" s="12">
        <f>J2*K2</f>
        <v>198000</v>
      </c>
      <c r="V2" s="12">
        <f>U2-U2/1.18</f>
        <v>30203.389830508473</v>
      </c>
      <c r="W2" s="12">
        <f>U2-V2</f>
        <v>167796.61016949153</v>
      </c>
      <c r="X2" s="34">
        <f>V2-S2</f>
        <v>16419.661016949147</v>
      </c>
      <c r="Y2" s="34">
        <f>U2-V2-R2+S2</f>
        <v>86180.338983050853</v>
      </c>
      <c r="Z2" s="35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0000000}">
          <x14:formula1>
            <xm:f>თვითღირებულება!$A$2:$A$101</xm:f>
          </x14:formula1>
          <xm:sqref>A2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თვითღირებულება</vt:lpstr>
      <vt:lpstr>პროდუქტების დასათვლელი</vt:lpstr>
      <vt:lpstr>დისტრიბუცია</vt:lpstr>
      <vt:lpstr>მაღაზია</vt:lpstr>
      <vt:lpstr>კალკულატორი ახალი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LASHA</dc:creator>
  <cp:lastModifiedBy>Lasha Kashakashvili</cp:lastModifiedBy>
  <cp:lastPrinted>2026-05-05T17:51:32Z</cp:lastPrinted>
  <dcterms:created xsi:type="dcterms:W3CDTF">2026-04-28T06:06:24Z</dcterms:created>
  <dcterms:modified xsi:type="dcterms:W3CDTF">2026-05-20T09:54:49Z</dcterms:modified>
</cp:coreProperties>
</file>